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BeeMS\hardware\MasterBoard_A\"/>
    </mc:Choice>
  </mc:AlternateContent>
  <xr:revisionPtr revIDLastSave="0" documentId="13_ncr:1_{31EAB0D3-4DC3-484D-8920-27A86FA33E02}" xr6:coauthVersionLast="47" xr6:coauthVersionMax="47" xr10:uidLastSave="{00000000-0000-0000-0000-000000000000}"/>
  <bookViews>
    <workbookView xWindow="-105" yWindow="0" windowWidth="12210" windowHeight="12885" activeTab="3" xr2:uid="{4093912D-66FD-41A9-9A54-7EA13A7B271E}"/>
  </bookViews>
  <sheets>
    <sheet name="1.0 routing" sheetId="1" r:id="rId1"/>
    <sheet name="1.1" sheetId="2" r:id="rId2"/>
    <sheet name="1.1 PSU GLV" sheetId="3" r:id="rId3"/>
    <sheet name="1.1 routi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4" l="1"/>
  <c r="L5" i="4"/>
  <c r="K17" i="4" a="1"/>
  <c r="K17" i="4" s="1"/>
  <c r="K13" i="3" a="1"/>
  <c r="K13" i="3" s="1"/>
  <c r="F26" i="3"/>
  <c r="E26" i="3"/>
  <c r="L9" i="3" a="1"/>
  <c r="L9" i="3" s="1"/>
  <c r="L39" i="3" s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3" i="4"/>
  <c r="K3" i="1"/>
  <c r="M2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N18" i="3" l="1"/>
  <c r="L25" i="3"/>
  <c r="O36" i="3"/>
  <c r="N36" i="3"/>
  <c r="M18" i="3"/>
  <c r="O35" i="3"/>
  <c r="N35" i="3"/>
  <c r="M17" i="3"/>
  <c r="L35" i="3"/>
  <c r="O16" i="3"/>
  <c r="N22" i="3"/>
  <c r="M22" i="3"/>
  <c r="L22" i="3"/>
  <c r="O33" i="3"/>
  <c r="N33" i="3"/>
  <c r="M27" i="3"/>
  <c r="L21" i="3"/>
  <c r="O20" i="3"/>
  <c r="N14" i="3"/>
  <c r="M38" i="3"/>
  <c r="M32" i="3"/>
  <c r="M26" i="3"/>
  <c r="M20" i="3"/>
  <c r="M14" i="3"/>
  <c r="M36" i="3"/>
  <c r="L18" i="3"/>
  <c r="O29" i="3"/>
  <c r="N29" i="3"/>
  <c r="M35" i="3"/>
  <c r="L29" i="3"/>
  <c r="O40" i="3"/>
  <c r="N40" i="3"/>
  <c r="M34" i="3"/>
  <c r="L16" i="3"/>
  <c r="O39" i="3"/>
  <c r="N21" i="3"/>
  <c r="M15" i="3"/>
  <c r="L33" i="3"/>
  <c r="O26" i="3"/>
  <c r="L38" i="3"/>
  <c r="L32" i="3"/>
  <c r="L26" i="3"/>
  <c r="L20" i="3"/>
  <c r="L14" i="3"/>
  <c r="L37" i="3"/>
  <c r="O24" i="3"/>
  <c r="N30" i="3"/>
  <c r="M30" i="3"/>
  <c r="L24" i="3"/>
  <c r="O41" i="3"/>
  <c r="N17" i="3"/>
  <c r="M41" i="3"/>
  <c r="L17" i="3"/>
  <c r="O22" i="3"/>
  <c r="N34" i="3"/>
  <c r="M16" i="3"/>
  <c r="L40" i="3"/>
  <c r="O15" i="3"/>
  <c r="N27" i="3"/>
  <c r="M39" i="3"/>
  <c r="L27" i="3"/>
  <c r="O38" i="3"/>
  <c r="N38" i="3"/>
  <c r="N20" i="3"/>
  <c r="O37" i="3"/>
  <c r="O31" i="3"/>
  <c r="O25" i="3"/>
  <c r="O19" i="3"/>
  <c r="L19" i="3"/>
  <c r="O18" i="3"/>
  <c r="M24" i="3"/>
  <c r="L30" i="3"/>
  <c r="O23" i="3"/>
  <c r="N41" i="3"/>
  <c r="M29" i="3"/>
  <c r="L23" i="3"/>
  <c r="O34" i="3"/>
  <c r="N28" i="3"/>
  <c r="M28" i="3"/>
  <c r="L34" i="3"/>
  <c r="O21" i="3"/>
  <c r="N39" i="3"/>
  <c r="M33" i="3"/>
  <c r="L15" i="3"/>
  <c r="O32" i="3"/>
  <c r="N32" i="3"/>
  <c r="N26" i="3"/>
  <c r="N37" i="3"/>
  <c r="N31" i="3"/>
  <c r="N25" i="3"/>
  <c r="N19" i="3"/>
  <c r="L31" i="3"/>
  <c r="O30" i="3"/>
  <c r="N24" i="3"/>
  <c r="L36" i="3"/>
  <c r="O17" i="3"/>
  <c r="N23" i="3"/>
  <c r="M23" i="3"/>
  <c r="L41" i="3"/>
  <c r="O28" i="3"/>
  <c r="N16" i="3"/>
  <c r="M40" i="3"/>
  <c r="L28" i="3"/>
  <c r="O27" i="3"/>
  <c r="N15" i="3"/>
  <c r="M21" i="3"/>
  <c r="O14" i="3"/>
  <c r="M37" i="3"/>
  <c r="M31" i="3"/>
  <c r="M25" i="3"/>
  <c r="M19" i="3"/>
  <c r="L13" i="3"/>
  <c r="M13" i="3"/>
  <c r="N13" i="3"/>
  <c r="O13" i="3"/>
  <c r="O10" i="3" l="1"/>
  <c r="N10" i="3"/>
  <c r="M11" i="3"/>
  <c r="M10" i="3" s="1"/>
  <c r="O11" i="3"/>
  <c r="L11" i="3"/>
  <c r="L10" i="3" s="1"/>
  <c r="N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 boone</author>
  </authors>
  <commentList>
    <comment ref="D6" authorId="0" shapeId="0" xr:uid="{00000000-0006-0000-0000-000001000000}">
      <text>
        <r>
          <rPr>
            <sz val="10"/>
            <rFont val="Arial"/>
            <family val="2"/>
          </rPr>
          <t xml:space="preserve">yong boone:
</t>
        </r>
        <r>
          <rPr>
            <sz val="9"/>
            <color rgb="FF000000"/>
            <rFont val="Tahoma"/>
            <charset val="1"/>
          </rPr>
          <t>wow</t>
        </r>
      </text>
    </comment>
    <comment ref="D8" authorId="0" shapeId="0" xr:uid="{00000000-0006-0000-0000-000002000000}">
      <text>
        <r>
          <rPr>
            <sz val="10"/>
            <rFont val="Arial"/>
            <family val="2"/>
          </rPr>
          <t xml:space="preserve">yong boone:
</t>
        </r>
        <r>
          <rPr>
            <sz val="9"/>
            <color rgb="FF000000"/>
            <rFont val="Tahoma"/>
            <charset val="1"/>
          </rPr>
          <t>theoretical design max: 80MHz
but guarenteeed only up to 33.3Mhz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 boone</author>
  </authors>
  <commentList>
    <comment ref="E50" authorId="0" shapeId="0" xr:uid="{B3888878-3CAF-48C5-864A-F0A9E6424EF4}">
      <text>
        <r>
          <rPr>
            <b/>
            <sz val="9"/>
            <color indexed="81"/>
            <rFont val="Tahoma"/>
            <family val="2"/>
          </rPr>
          <t>yong boone:</t>
        </r>
        <r>
          <rPr>
            <sz val="9"/>
            <color indexed="81"/>
            <rFont val="Tahoma"/>
            <family val="2"/>
          </rPr>
          <t xml:space="preserve">
internal bias of MCU pin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<sst xmlns="http://schemas.openxmlformats.org/spreadsheetml/2006/main" count="800" uniqueCount="315">
  <si>
    <t>last updated</t>
  </si>
  <si>
    <t>pin column</t>
  </si>
  <si>
    <t>port</t>
  </si>
  <si>
    <t>occupation</t>
  </si>
  <si>
    <t>parts ordered from mouser</t>
  </si>
  <si>
    <t>notes for next iteration</t>
  </si>
  <si>
    <t>A0</t>
  </si>
  <si>
    <t>tracking #</t>
  </si>
  <si>
    <t>1Z7759450314578199</t>
  </si>
  <si>
    <t>use spoked zones on small pitch ICs</t>
  </si>
  <si>
    <t>SPI bus devices</t>
  </si>
  <si>
    <t>TODO</t>
  </si>
  <si>
    <t>A1</t>
  </si>
  <si>
    <t>page</t>
  </si>
  <si>
    <t>sub section</t>
  </si>
  <si>
    <t>device</t>
  </si>
  <si>
    <t>max speed</t>
  </si>
  <si>
    <t>max expected speed</t>
  </si>
  <si>
    <t>format</t>
  </si>
  <si>
    <t>allocated</t>
  </si>
  <si>
    <t>A2</t>
  </si>
  <si>
    <t>get dr woods to buy molex connectors (not headers)</t>
  </si>
  <si>
    <t>bus</t>
  </si>
  <si>
    <t>note</t>
  </si>
  <si>
    <t>A3</t>
  </si>
  <si>
    <t>great leds. 1MA kinda bright though. blue -%30. green -%20, red is fine. Yellow +%20.</t>
  </si>
  <si>
    <t>Root</t>
  </si>
  <si>
    <t>MCHS</t>
  </si>
  <si>
    <t>MC Hall sensor. percise</t>
  </si>
  <si>
    <t>100Mhz</t>
  </si>
  <si>
    <t>1Mhz</t>
  </si>
  <si>
    <t>00,01,10,11</t>
  </si>
  <si>
    <t>SPI1</t>
  </si>
  <si>
    <t>A4</t>
  </si>
  <si>
    <t>10v zener foot prints wrong 💀 D3</t>
  </si>
  <si>
    <t>MC Hall sensor. inpercise</t>
  </si>
  <si>
    <t>A5</t>
  </si>
  <si>
    <t>226 R wrong size. R53</t>
  </si>
  <si>
    <t>Ethernet</t>
  </si>
  <si>
    <t>ethernet controller</t>
  </si>
  <si>
    <t>33.3Mhz</t>
  </si>
  <si>
    <t>01,</t>
  </si>
  <si>
    <t>SPI0</t>
  </si>
  <si>
    <t>A6</t>
  </si>
  <si>
    <t>keep the overhanged headers</t>
  </si>
  <si>
    <t>A7</t>
  </si>
  <si>
    <t>lable connector pins, especially the uart pinout</t>
  </si>
  <si>
    <t>A8</t>
  </si>
  <si>
    <t>plastic pegs on bottom of jtag connector?!?!</t>
  </si>
  <si>
    <t>A9</t>
  </si>
  <si>
    <t>Buy 4 pin molex</t>
  </si>
  <si>
    <t>A10</t>
  </si>
  <si>
    <t>uart pins too close to jtag(“actually its a swd connection”🤓) header. Connector plastic like 0.5mm from touching uart pin, cannot put dupont on uart :(</t>
  </si>
  <si>
    <t>A11</t>
  </si>
  <si>
    <t>make HRLV connector a 2x3 molex, to match what the voltage tap has</t>
  </si>
  <si>
    <t>A12</t>
  </si>
  <si>
    <t>Make interlock use constant current source, not pull up. Like 120mA max CC from HRLV sounds enough</t>
  </si>
  <si>
    <t>A13</t>
  </si>
  <si>
    <t>check thermals over long runtime</t>
  </si>
  <si>
    <t>A14</t>
  </si>
  <si>
    <t>absurd idle power draw!?!? 12V:32mA , 24V:17mA</t>
  </si>
  <si>
    <t>Bus IO</t>
  </si>
  <si>
    <t>A15</t>
  </si>
  <si>
    <t>finger enough to short stuff. Do not poke board</t>
  </si>
  <si>
    <t>Perf</t>
  </si>
  <si>
    <t>sub section 2</t>
  </si>
  <si>
    <t>IO type</t>
  </si>
  <si>
    <t>to note</t>
  </si>
  <si>
    <t>A16</t>
  </si>
  <si>
    <t>space out indicator leds more</t>
  </si>
  <si>
    <t>Pin</t>
  </si>
  <si>
    <t>Function</t>
  </si>
  <si>
    <t>A17</t>
  </si>
  <si>
    <t>avoid putting LEDs on their side, fov a significant issue</t>
  </si>
  <si>
    <t>controller CS</t>
  </si>
  <si>
    <t>PP</t>
  </si>
  <si>
    <t>gpio</t>
  </si>
  <si>
    <t>A18</t>
  </si>
  <si>
    <t>jtag connector cable points the wrong way, in kicad connector needs rotated 180deg if cable intends to come in from south of schematic</t>
  </si>
  <si>
    <t>DO</t>
  </si>
  <si>
    <t>spi0 SCLK</t>
  </si>
  <si>
    <t>A19</t>
  </si>
  <si>
    <t>move IL control to be besides the relay</t>
  </si>
  <si>
    <t>DI</t>
  </si>
  <si>
    <t>spi0 MISO/POCI</t>
  </si>
  <si>
    <t>A20</t>
  </si>
  <si>
    <t>one of the bucks died(audiably sounds different) after couple hours of being powered, both 5v and 3v3 rails turned off. 3V3 thigns work fine if directly apply 3v3 to rail</t>
  </si>
  <si>
    <t>spi0 MOSI/PICO</t>
  </si>
  <si>
    <t>A21</t>
  </si>
  <si>
    <t>spi1 SCLK</t>
  </si>
  <si>
    <t>A22</t>
  </si>
  <si>
    <t>w5500 use this crystal isntead https://www.digikey.com/en/products/detail/ecs-inc/ECS-250-10-37-JTN-TR/8023262?gclsrc=aw.ds&amp;gad_source=1&amp;gad_campaignid=17922795960&amp;gclid=CjwKCAiAjc7KBhBvEiwAE2BDOTfLeOBIzINr9MwUFi-HKbTRhdRcOiDyKsH142M90xEiJQJMj9BQ5xoCvNAQAvD_BwE</t>
  </si>
  <si>
    <t>spi1 MISO/POCI</t>
  </si>
  <si>
    <t>A23</t>
  </si>
  <si>
    <t>w5500 keeps the 18pF on each side of sicllator</t>
  </si>
  <si>
    <t>spi1 MOSI/PICO</t>
  </si>
  <si>
    <t>A24</t>
  </si>
  <si>
    <t>use bjt to drive rj45 leds</t>
  </si>
  <si>
    <t>MC Hall Sensor</t>
  </si>
  <si>
    <t>precise CS</t>
  </si>
  <si>
    <t>B13</t>
  </si>
  <si>
    <t>A25</t>
  </si>
  <si>
    <t>imprecise CS</t>
  </si>
  <si>
    <t>B7</t>
  </si>
  <si>
    <t>A26</t>
  </si>
  <si>
    <t>UART2</t>
  </si>
  <si>
    <t>MCU</t>
  </si>
  <si>
    <t>uart UI</t>
  </si>
  <si>
    <t>UART2 tx</t>
  </si>
  <si>
    <t>A27</t>
  </si>
  <si>
    <t>UART2 rx</t>
  </si>
  <si>
    <t>A28</t>
  </si>
  <si>
    <t>A29</t>
  </si>
  <si>
    <t>Non Bus IO</t>
  </si>
  <si>
    <t>A30</t>
  </si>
  <si>
    <t>purpose</t>
  </si>
  <si>
    <t>A31</t>
  </si>
  <si>
    <t>B0</t>
  </si>
  <si>
    <t>can bus interface</t>
  </si>
  <si>
    <t>can transceiver to MCU</t>
  </si>
  <si>
    <t>MCAN0</t>
  </si>
  <si>
    <t>MCAN0 TX</t>
  </si>
  <si>
    <t>B1</t>
  </si>
  <si>
    <t>MCAN0 RX</t>
  </si>
  <si>
    <t>B2</t>
  </si>
  <si>
    <t>SWD</t>
  </si>
  <si>
    <t>DIO</t>
  </si>
  <si>
    <t>do not manually configure</t>
  </si>
  <si>
    <t>SWDIO</t>
  </si>
  <si>
    <t>B3</t>
  </si>
  <si>
    <t>SWCLK</t>
  </si>
  <si>
    <t>B4</t>
  </si>
  <si>
    <t>Indicator LEDs</t>
  </si>
  <si>
    <t>indicator 1</t>
  </si>
  <si>
    <t>B5</t>
  </si>
  <si>
    <t>indicator 2</t>
  </si>
  <si>
    <t>B6</t>
  </si>
  <si>
    <t>BMS Fault</t>
  </si>
  <si>
    <t>RTOS running</t>
  </si>
  <si>
    <t>B8</t>
  </si>
  <si>
    <t>Interlock</t>
  </si>
  <si>
    <t>interlock control</t>
  </si>
  <si>
    <t>B9</t>
  </si>
  <si>
    <t>interlock sense</t>
  </si>
  <si>
    <t>B10</t>
  </si>
  <si>
    <t>PWM bank</t>
  </si>
  <si>
    <t>bank 1 signal 1</t>
  </si>
  <si>
    <t>PWM</t>
  </si>
  <si>
    <t>B11</t>
  </si>
  <si>
    <t>bank 1 signal 2</t>
  </si>
  <si>
    <t>disabled</t>
  </si>
  <si>
    <t>none</t>
  </si>
  <si>
    <t>B12</t>
  </si>
  <si>
    <t>bank 1 signal 3</t>
  </si>
  <si>
    <t>bank 1 signal 4</t>
  </si>
  <si>
    <t>B14</t>
  </si>
  <si>
    <t>Board side sensing</t>
  </si>
  <si>
    <t>temp sensor 1</t>
  </si>
  <si>
    <t>AI</t>
  </si>
  <si>
    <t>A0 #3</t>
  </si>
  <si>
    <t>B15</t>
  </si>
  <si>
    <t>temp sensor 2</t>
  </si>
  <si>
    <t>B16</t>
  </si>
  <si>
    <t>HRLV interface</t>
  </si>
  <si>
    <t>HRLV Active Presence</t>
  </si>
  <si>
    <t>idk if output defined when HRLV unpowered</t>
  </si>
  <si>
    <t>B26</t>
  </si>
  <si>
    <t>B17</t>
  </si>
  <si>
    <t>HRLV Interlock presence</t>
  </si>
  <si>
    <t>B27</t>
  </si>
  <si>
    <t>B18</t>
  </si>
  <si>
    <t>interrupt</t>
  </si>
  <si>
    <t>B19</t>
  </si>
  <si>
    <t>reset</t>
  </si>
  <si>
    <t>uart TX</t>
  </si>
  <si>
    <t>B20</t>
  </si>
  <si>
    <t>B21</t>
  </si>
  <si>
    <t>B22</t>
  </si>
  <si>
    <t>B23</t>
  </si>
  <si>
    <t>B24</t>
  </si>
  <si>
    <t>B25</t>
  </si>
  <si>
    <t>B28</t>
  </si>
  <si>
    <t>B29</t>
  </si>
  <si>
    <t>B30</t>
  </si>
  <si>
    <t>B31</t>
  </si>
  <si>
    <t>THERMAL SHOCK BY NOT HAVING SPOKED GROUND FILL? That or bad solderin on my end (75% it’s the latter, havvent had it this bad before though)</t>
  </si>
  <si>
    <t>parts spacing fine, but hard to access once all in place. Rearrange</t>
  </si>
  <si>
    <t>prototype</t>
  </si>
  <si>
    <t>overview</t>
  </si>
  <si>
    <t>changes</t>
  </si>
  <si>
    <t xml:space="preserve">itteration. </t>
  </si>
  <si>
    <t>swapped 5v and 3v3 rail supply bucks from RAA211xxx to AP64060ZQ</t>
  </si>
  <si>
    <t>added UV proteciton for sheet "GLV PSU"</t>
  </si>
  <si>
    <t>corrected w5500 layout and oscillator choice with tested design from "W5500 testing" project</t>
  </si>
  <si>
    <t>nuh uh</t>
  </si>
  <si>
    <t>molex connector for da ethernet :skull: to get around the hv rated cable wire rule</t>
  </si>
  <si>
    <t>dim indicator leds. Changed load resistor from 2.4k to 3.32k</t>
  </si>
  <si>
    <t>sheet name</t>
  </si>
  <si>
    <t>notes</t>
  </si>
  <si>
    <t>swapped for 48 pin Q1 mcu</t>
  </si>
  <si>
    <t>notes for future itterations</t>
  </si>
  <si>
    <t>maybe add another onboard relay to control precharge, use MCHS to determine when precharge done/ for now we can just send CAN to the motec</t>
  </si>
  <si>
    <t>swapped IL relay 12v  for 24v</t>
  </si>
  <si>
    <t>section</t>
  </si>
  <si>
    <t>expected speed</t>
  </si>
  <si>
    <t>0. root</t>
  </si>
  <si>
    <t>1. GLV PSU</t>
  </si>
  <si>
    <t>2. Eth</t>
  </si>
  <si>
    <t>3. MCHS</t>
  </si>
  <si>
    <t>5. AFF</t>
  </si>
  <si>
    <t>6. PWM sb1</t>
  </si>
  <si>
    <t>buses</t>
  </si>
  <si>
    <t>33.3MHz</t>
  </si>
  <si>
    <t>01</t>
  </si>
  <si>
    <t>w5500</t>
  </si>
  <si>
    <t>ADC</t>
  </si>
  <si>
    <t>precise</t>
  </si>
  <si>
    <t>imprecise</t>
  </si>
  <si>
    <t>100MHz</t>
  </si>
  <si>
    <t>32MHz</t>
  </si>
  <si>
    <t>10MHz</t>
  </si>
  <si>
    <t>any</t>
  </si>
  <si>
    <t>MCU Bus IO</t>
  </si>
  <si>
    <t>pin</t>
  </si>
  <si>
    <t>function</t>
  </si>
  <si>
    <t>MCU spi bus</t>
  </si>
  <si>
    <t>line bias</t>
  </si>
  <si>
    <t>MCU pins (LQFP48)</t>
  </si>
  <si>
    <t>5V tolerant ODIO</t>
  </si>
  <si>
    <t>HDIO</t>
  </si>
  <si>
    <t>HSIO</t>
  </si>
  <si>
    <t>TODO pin</t>
  </si>
  <si>
    <t>"TODO" place holder</t>
  </si>
  <si>
    <t>missing IO</t>
  </si>
  <si>
    <t xml:space="preserve"> </t>
  </si>
  <si>
    <t>percise CS</t>
  </si>
  <si>
    <t>impercise CS</t>
  </si>
  <si>
    <t>MCU non-bus IO</t>
  </si>
  <si>
    <t>CAN bus interface</t>
  </si>
  <si>
    <t>can contrller TX</t>
  </si>
  <si>
    <t>can contrller RX</t>
  </si>
  <si>
    <t>infered</t>
  </si>
  <si>
    <t>programming</t>
  </si>
  <si>
    <t>indicator LEDs</t>
  </si>
  <si>
    <t>BMS fault</t>
  </si>
  <si>
    <t>Scheduler running</t>
  </si>
  <si>
    <t>input sense</t>
  </si>
  <si>
    <t>PU</t>
  </si>
  <si>
    <t>forwarding control</t>
  </si>
  <si>
    <t>Board thermals</t>
  </si>
  <si>
    <t>temperature 1</t>
  </si>
  <si>
    <t>HRLV sense</t>
  </si>
  <si>
    <t>w5500 internal PU</t>
  </si>
  <si>
    <t>reset _N</t>
  </si>
  <si>
    <t>IRQ _N</t>
  </si>
  <si>
    <t>PSU</t>
  </si>
  <si>
    <t>OD</t>
  </si>
  <si>
    <t>shutdown _N</t>
  </si>
  <si>
    <t>ROSC</t>
  </si>
  <si>
    <t>custom</t>
  </si>
  <si>
    <t>real time clock</t>
  </si>
  <si>
    <t>free</t>
  </si>
  <si>
    <t>4. HRLV intf</t>
  </si>
  <si>
    <t>5V ODIO</t>
  </si>
  <si>
    <t>HRLV presence</t>
  </si>
  <si>
    <t>IL presence</t>
  </si>
  <si>
    <t>UART TX</t>
  </si>
  <si>
    <t>3v3</t>
  </si>
  <si>
    <t>description</t>
  </si>
  <si>
    <t>MSPM0G3507</t>
  </si>
  <si>
    <t>main GLV PSU loads</t>
  </si>
  <si>
    <t>GLV rails</t>
  </si>
  <si>
    <t>rail</t>
  </si>
  <si>
    <t>quiescent load max (mA)</t>
  </si>
  <si>
    <t>load max (mA)</t>
  </si>
  <si>
    <t>CANFD transceiver</t>
  </si>
  <si>
    <t>main mcu. always on</t>
  </si>
  <si>
    <t>Joined G/HR LV</t>
  </si>
  <si>
    <t>dio</t>
  </si>
  <si>
    <t>vdd</t>
  </si>
  <si>
    <t>Board temperature</t>
  </si>
  <si>
    <t>1 temp sensor</t>
  </si>
  <si>
    <t>15uA each sensor</t>
  </si>
  <si>
    <t>buck</t>
  </si>
  <si>
    <t>indicator led</t>
  </si>
  <si>
    <t>sum</t>
  </si>
  <si>
    <t>load on rails (mA)</t>
  </si>
  <si>
    <t>rj45 jack</t>
  </si>
  <si>
    <t>led yellow</t>
  </si>
  <si>
    <t>controller</t>
  </si>
  <si>
    <t>4.096Vref</t>
  </si>
  <si>
    <t>1.8Vref</t>
  </si>
  <si>
    <t>dependent. see ADC analog side</t>
  </si>
  <si>
    <t>ADC for percise</t>
  </si>
  <si>
    <t>ADC for impercise</t>
  </si>
  <si>
    <t>digital</t>
  </si>
  <si>
    <t>analog</t>
  </si>
  <si>
    <t>PSU shutdown bias</t>
  </si>
  <si>
    <t>PD</t>
  </si>
  <si>
    <t>galvanic isolator</t>
  </si>
  <si>
    <t>near</t>
  </si>
  <si>
    <t>5v</t>
  </si>
  <si>
    <t>power (W)</t>
  </si>
  <si>
    <t>sheets</t>
  </si>
  <si>
    <t>UART RX</t>
  </si>
  <si>
    <t>UART2 TX</t>
  </si>
  <si>
    <t>UART2 RX</t>
  </si>
  <si>
    <t>duplicate pins!</t>
  </si>
  <si>
    <t>IGNORE</t>
  </si>
  <si>
    <t>ignore this pin</t>
  </si>
  <si>
    <t>removed</t>
  </si>
  <si>
    <t>caution. see schematic.</t>
  </si>
  <si>
    <t>SD card</t>
  </si>
  <si>
    <t>UART 2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</si>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</sst>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Aptos Narrow"/>
      <family val="2"/>
      <charset val="1"/>
    </font>
    <font>
      <sz val="10"/>
      <name val="Arial"/>
      <family val="2"/>
    </font>
    <font>
      <sz val="9"/>
      <color rgb="FF000000"/>
      <name val="Tahoma"/>
      <charset val="1"/>
    </font>
    <font>
      <b/>
      <sz val="11"/>
      <color theme="0"/>
      <name val="Aptos Narrow"/>
      <family val="2"/>
      <charset val="1"/>
    </font>
    <font>
      <sz val="9"/>
      <color indexed="81"/>
      <name val="Tahoma"/>
      <family val="2"/>
    </font>
    <font>
      <sz val="8"/>
      <name val="Aptos Narrow"/>
      <family val="2"/>
      <charset val="1"/>
    </font>
    <font>
      <b/>
      <sz val="9"/>
      <color indexed="81"/>
      <name val="Tahoma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49" fontId="0" fillId="0" borderId="4" xfId="0" applyNumberFormat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3" fillId="3" borderId="8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49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0" fontId="0" fillId="4" borderId="11" xfId="0" applyFill="1" applyBorder="1"/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1" xfId="0" applyNumberFormat="1" applyBorder="1"/>
    <xf numFmtId="2" fontId="0" fillId="0" borderId="4" xfId="0" applyNumberFormat="1" applyBorder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5">
    <dxf>
      <fill>
        <patternFill>
          <bgColor rgb="FF92D050"/>
        </patternFill>
      </fill>
    </dxf>
    <dxf>
      <fill>
        <patternFill>
          <bgColor theme="6" tint="0.59987182226020086"/>
        </patternFill>
      </fill>
    </dxf>
    <dxf>
      <fill>
        <patternFill>
          <bgColor rgb="FFFF0000"/>
        </patternFill>
      </fill>
    </dxf>
    <dxf>
      <fill>
        <patternFill>
          <bgColor theme="6" tint="0.59987182226020086"/>
        </patternFill>
      </fill>
    </dxf>
    <dxf>
      <fill>
        <patternFill>
          <bgColor rgb="FFFF0000"/>
        </patternFill>
      </fill>
    </dxf>
    <dxf>
      <fill>
        <patternFill>
          <bgColor theme="6" tint="0.59987182226020086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theme="4" tint="0.3999755851924192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A6A1A-1FD3-48BF-BCF8-90408D82F5F9}" name="Table1" displayName="Table1" ref="A8:G37" totalsRowShown="0" headerRowDxfId="54" tableBorderDxfId="53">
  <autoFilter ref="A8:G37" xr:uid="{B3CA6A1A-1FD3-48BF-BCF8-90408D82F5F9}"/>
  <tableColumns count="7">
    <tableColumn id="1" xr3:uid="{F176D1B1-93A9-4FA3-9B13-4D1FB62C21AE}" name="sheet name"/>
    <tableColumn id="8" xr3:uid="{A8F78CD3-05E4-4EB1-9B7D-CED32A844841}" name="section"/>
    <tableColumn id="2" xr3:uid="{EE80E7F9-AF23-49F4-943C-5BDA0C2DD776}" name="description"/>
    <tableColumn id="3" xr3:uid="{A5946CA3-79A2-4891-BEA3-782B6CE1AAF4}" name="rail" dataDxfId="52"/>
    <tableColumn id="4" xr3:uid="{F1B2DA7A-1733-4CED-911F-2548B461F4B4}" name="load max (mA)" dataDxfId="51"/>
    <tableColumn id="5" xr3:uid="{FC4198F1-9F4C-462F-A1EC-84FC5B0E5DA5}" name="quiescent load max (mA)" dataDxfId="50"/>
    <tableColumn id="7" xr3:uid="{B9D254ED-3403-48E7-86C6-D472AEB43A1C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77664-6D8F-483F-912C-5E6D4F8B5F07}" name="Table2" displayName="Table2" ref="A2:H11" totalsRowShown="0" headerRowDxfId="49" headerRowBorderDxfId="48" tableBorderDxfId="47" totalsRowBorderDxfId="46">
  <autoFilter ref="A2:H11" xr:uid="{F5F77664-6D8F-483F-912C-5E6D4F8B5F07}"/>
  <tableColumns count="8">
    <tableColumn id="1" xr3:uid="{5010B2C3-0FE4-4D45-AAEA-15B595D6C58D}" name="sheet name" dataDxfId="45"/>
    <tableColumn id="2" xr3:uid="{16EBAA9D-A147-47AD-9900-6D0CBBD407E6}" name="section" dataDxfId="44"/>
    <tableColumn id="8" xr3:uid="{F8464126-4CA5-4154-9AFC-FDF660E49CD5}" name="device" dataDxfId="43"/>
    <tableColumn id="3" xr3:uid="{D72D5C8E-8121-47FF-81A7-48F75D0CE1DF}" name="max speed" dataDxfId="42"/>
    <tableColumn id="4" xr3:uid="{07BFB895-C95F-4BE2-8798-3F35D9FC157D}" name="expected speed" dataDxfId="41"/>
    <tableColumn id="5" xr3:uid="{3D5D7CCE-4D00-4720-B7C6-4838DF346708}" name="format" dataDxfId="40"/>
    <tableColumn id="6" xr3:uid="{094CFC15-9E9E-4A6F-90B7-217F057F3026}" name="bus" dataDxfId="39"/>
    <tableColumn id="7" xr3:uid="{E77093F1-2FCA-4DA2-9AED-4459A1A37A95}" name="note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78D7EE-6FBB-4DE3-AC48-F0B5A29D5EF2}" name="Table25" displayName="Table25" ref="A17:H36" totalsRowShown="0" headerRowDxfId="37" headerRowBorderDxfId="36" tableBorderDxfId="35" totalsRowBorderDxfId="34">
  <autoFilter ref="A17:H36" xr:uid="{1578D7EE-6FBB-4DE3-AC48-F0B5A29D5EF2}"/>
  <tableColumns count="8">
    <tableColumn id="1" xr3:uid="{A5417E4E-85AA-481E-95EA-6EA68378CE0D}" name="sheet name" dataDxfId="33"/>
    <tableColumn id="2" xr3:uid="{09206E64-D0B2-46BA-953D-4D6EBD89E499}" name="section" dataDxfId="32"/>
    <tableColumn id="8" xr3:uid="{0749C1C9-E3C8-4BBD-BBB8-55A70958D90B}" name="purpose" dataDxfId="31"/>
    <tableColumn id="3" xr3:uid="{E1786154-FE90-4FB3-BB39-4EA801C99FFE}" name="bus" dataDxfId="30"/>
    <tableColumn id="4" xr3:uid="{D82A1FA2-ED47-43F8-92E3-8481A0FA6027}" name="IO type" dataDxfId="29"/>
    <tableColumn id="5" xr3:uid="{101C5AB4-2FFB-4B6A-A094-43F31CB7F52B}" name="line bias" dataDxfId="28"/>
    <tableColumn id="6" xr3:uid="{D5F42C96-9C93-4A2C-9F8C-44EA441E466D}" name="pin" dataDxfId="27"/>
    <tableColumn id="7" xr3:uid="{DB897746-7C21-4991-BABA-CA2C03586305}" name="function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9BFC6C-4310-44F8-9275-A5F8EC732176}" name="Table5" displayName="Table5" ref="M2:O48" totalsRowShown="0" headerRowDxfId="25" headerRowBorderDxfId="24" tableBorderDxfId="23" totalsRowBorderDxfId="22">
  <autoFilter ref="M2:O48" xr:uid="{709BFC6C-4310-44F8-9275-A5F8EC732176}"/>
  <tableColumns count="3">
    <tableColumn id="1" xr3:uid="{CAC62513-D1D3-4EFD-9C4B-637F7CD6500C}" name="Pin" dataDxfId="21"/>
    <tableColumn id="2" xr3:uid="{5C4AD75F-C896-4D24-99CC-DFB5DAEB186E}" name="Function" dataDxfId="20">
      <calculatedColumnFormula>IFERROR(INDEX($H$18:$H$1029, MATCH($M3, $G$18:$G$1029, 0)), "none")</calculatedColumnFormula>
    </tableColumn>
    <tableColumn id="3" xr3:uid="{16917B27-6CC3-427B-9880-17F5A85CDE9C}" name="note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DE32EE-112E-4083-BDA6-E45286F8B66C}" name="Table7" displayName="Table7" ref="A50:H70" totalsRowShown="0" headerRowDxfId="18" headerRowBorderDxfId="17" tableBorderDxfId="16" totalsRowBorderDxfId="15">
  <autoFilter ref="A50:H70" xr:uid="{3BDE32EE-112E-4083-BDA6-E45286F8B66C}"/>
  <tableColumns count="8">
    <tableColumn id="1" xr3:uid="{E6067D0D-DB54-4DE6-92DE-E4E517FBD9DB}" name="sheet name" dataDxfId="14"/>
    <tableColumn id="2" xr3:uid="{914D0438-0D80-4890-A4EB-D535A73B591E}" name="section" dataDxfId="13"/>
    <tableColumn id="3" xr3:uid="{81E49DDC-4883-49CB-B666-A426AF3AFCCC}" name="purpose" dataDxfId="12"/>
    <tableColumn id="4" xr3:uid="{12A4B7BA-D202-4055-9BC8-BBBA444A22A0}" name="IO type" dataDxfId="11"/>
    <tableColumn id="5" xr3:uid="{0A2BCD0F-C36D-4FA5-81AC-B36A2B41D5E8}" name="line bias" dataDxfId="10"/>
    <tableColumn id="6" xr3:uid="{CFCC7241-C9B5-411F-9179-ED12BE4B7515}" name="to note" dataDxfId="9"/>
    <tableColumn id="7" xr3:uid="{E186A547-E475-4585-9985-65321265F858}" name="pin" dataDxfId="8"/>
    <tableColumn id="8" xr3:uid="{16AD8D62-8D0F-4AA0-9119-866D0BBA0824}" name="function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digikey.com/en/products/detail/ecs-inc/ECS-250-10-37-JTN-TR/8023262?gclsrc=aw.ds&amp;gad_source=1&amp;gad_campaignid=17922795960&amp;gclid=CjwKCAiAjc7KBhBvEiwAE2BDOTfLeOBIzINr9MwUFi-HKbTRhdRcOiDyKsH142M90xEiJQJMj9BQ5xoCvNAQAvD_Bw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7"/>
  <sheetViews>
    <sheetView topLeftCell="A7" workbookViewId="0">
      <selection activeCell="E35" sqref="E35:F35"/>
    </sheetView>
  </sheetViews>
  <sheetFormatPr defaultColWidth="9.140625" defaultRowHeight="15" customHeight="1"/>
  <cols>
    <col min="1" max="2" width="14.42578125" style="1" customWidth="1"/>
    <col min="3" max="3" width="12.42578125" style="1" customWidth="1"/>
    <col min="4" max="4" width="9" style="1" customWidth="1"/>
    <col min="5" max="5" width="6" style="1" customWidth="1"/>
    <col min="6" max="6" width="13.140625" style="1" customWidth="1"/>
    <col min="7" max="7" width="14" style="1" customWidth="1"/>
    <col min="8" max="8" width="15.7109375" style="1" customWidth="1"/>
    <col min="9" max="12" width="9.140625" style="1"/>
    <col min="13" max="13" width="20.5703125" style="1" customWidth="1"/>
    <col min="14" max="14" width="9.140625" style="1"/>
    <col min="15" max="15" width="13.7109375" style="1" customWidth="1"/>
    <col min="16" max="18" width="9.140625" style="1"/>
    <col min="19" max="19" width="123" style="1" bestFit="1" customWidth="1"/>
    <col min="20" max="16384" width="9.140625" style="1"/>
  </cols>
  <sheetData>
    <row r="1" spans="1:19" ht="15" customHeight="1">
      <c r="A1" s="1" t="s">
        <v>0</v>
      </c>
      <c r="B1" s="2">
        <v>46016</v>
      </c>
      <c r="C1" s="2"/>
      <c r="D1" s="2"/>
      <c r="G1" s="1" t="s">
        <v>1</v>
      </c>
      <c r="L1" s="3" t="s">
        <v>2</v>
      </c>
      <c r="M1" s="3" t="s">
        <v>3</v>
      </c>
      <c r="O1" s="40" t="s">
        <v>4</v>
      </c>
      <c r="P1" s="40"/>
      <c r="Q1" s="40"/>
      <c r="S1" s="4" t="s">
        <v>5</v>
      </c>
    </row>
    <row r="2" spans="1:19" ht="45">
      <c r="L2" s="3" t="s">
        <v>6</v>
      </c>
      <c r="M2" s="3" t="str">
        <f>IFERROR(INDEX($H$15:$H$1000, MATCH($L2, $G$15:$G$1000, 0)), "n/a")</f>
        <v>n/a</v>
      </c>
      <c r="O2" s="1" t="s">
        <v>7</v>
      </c>
      <c r="P2" s="1" t="s">
        <v>8</v>
      </c>
      <c r="S2" s="1" t="s">
        <v>9</v>
      </c>
    </row>
    <row r="3" spans="1:19" ht="15" customHeight="1">
      <c r="A3" s="41" t="s">
        <v>10</v>
      </c>
      <c r="B3" s="41"/>
      <c r="C3" s="41"/>
      <c r="D3" s="41"/>
      <c r="E3" s="41"/>
      <c r="F3" s="41"/>
      <c r="G3" s="41"/>
      <c r="H3" s="41"/>
      <c r="J3" s="1" t="s">
        <v>11</v>
      </c>
      <c r="K3" s="1" t="str">
        <f>IFERROR(INDEX($H$15:$H$1000, MATCH($J3, $G$15:$G$1000, 0)), "n/a")</f>
        <v>n/a</v>
      </c>
      <c r="L3" s="3" t="s">
        <v>12</v>
      </c>
      <c r="M3" s="3" t="str">
        <f t="shared" ref="M3:M33" si="0">IFERROR(INDEX($H$15:$H$1000, MATCH($L3, $G$15:$G$1000, 0)), "n/a")</f>
        <v>n/a</v>
      </c>
      <c r="S3" s="1" t="s">
        <v>186</v>
      </c>
    </row>
    <row r="4" spans="1:19" ht="23.85" customHeight="1">
      <c r="A4" s="41" t="s">
        <v>13</v>
      </c>
      <c r="B4" s="41" t="s">
        <v>14</v>
      </c>
      <c r="C4" s="41" t="s">
        <v>15</v>
      </c>
      <c r="D4" s="41" t="s">
        <v>16</v>
      </c>
      <c r="E4" s="41" t="s">
        <v>17</v>
      </c>
      <c r="F4" s="41" t="s">
        <v>18</v>
      </c>
      <c r="G4" s="41" t="s">
        <v>19</v>
      </c>
      <c r="H4" s="41"/>
      <c r="L4" s="3" t="s">
        <v>20</v>
      </c>
      <c r="M4" s="3" t="str">
        <f t="shared" si="0"/>
        <v>n/a</v>
      </c>
      <c r="S4" s="1" t="s">
        <v>21</v>
      </c>
    </row>
    <row r="5" spans="1:19">
      <c r="A5" s="41"/>
      <c r="B5" s="41"/>
      <c r="C5" s="41"/>
      <c r="D5" s="41"/>
      <c r="E5" s="41"/>
      <c r="F5" s="41"/>
      <c r="G5" s="5" t="s">
        <v>22</v>
      </c>
      <c r="H5" s="5" t="s">
        <v>23</v>
      </c>
      <c r="L5" s="3" t="s">
        <v>24</v>
      </c>
      <c r="M5" s="3" t="str">
        <f t="shared" si="0"/>
        <v>n/a</v>
      </c>
      <c r="S5" s="1" t="s">
        <v>25</v>
      </c>
    </row>
    <row r="6" spans="1:19" ht="4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/>
      <c r="L6" s="3" t="s">
        <v>33</v>
      </c>
      <c r="M6" s="3" t="str">
        <f t="shared" si="0"/>
        <v>n/a</v>
      </c>
      <c r="S6" s="1" t="s">
        <v>34</v>
      </c>
    </row>
    <row r="7" spans="1:19" ht="45">
      <c r="A7" s="3" t="s">
        <v>26</v>
      </c>
      <c r="B7" s="3" t="s">
        <v>27</v>
      </c>
      <c r="C7" s="3" t="s">
        <v>35</v>
      </c>
      <c r="D7" s="3" t="s">
        <v>29</v>
      </c>
      <c r="E7" s="3" t="s">
        <v>30</v>
      </c>
      <c r="F7" s="3" t="s">
        <v>31</v>
      </c>
      <c r="G7" s="3" t="s">
        <v>32</v>
      </c>
      <c r="H7" s="3"/>
      <c r="L7" s="3" t="s">
        <v>36</v>
      </c>
      <c r="M7" s="3" t="str">
        <f t="shared" si="0"/>
        <v>gpio</v>
      </c>
      <c r="S7" s="1" t="s">
        <v>37</v>
      </c>
    </row>
    <row r="8" spans="1:19" ht="30">
      <c r="A8" s="3" t="s">
        <v>26</v>
      </c>
      <c r="B8" s="3" t="s">
        <v>38</v>
      </c>
      <c r="C8" s="3" t="s">
        <v>39</v>
      </c>
      <c r="D8" s="3" t="s">
        <v>40</v>
      </c>
      <c r="E8" s="3" t="s">
        <v>40</v>
      </c>
      <c r="F8" s="3" t="s">
        <v>41</v>
      </c>
      <c r="G8" s="3" t="s">
        <v>42</v>
      </c>
      <c r="H8" s="3"/>
      <c r="L8" s="3" t="s">
        <v>43</v>
      </c>
      <c r="M8" s="3" t="str">
        <f t="shared" si="0"/>
        <v>gpio</v>
      </c>
      <c r="S8" s="1" t="s">
        <v>44</v>
      </c>
    </row>
    <row r="9" spans="1:19">
      <c r="A9" s="3"/>
      <c r="B9" s="3"/>
      <c r="C9" s="3"/>
      <c r="D9" s="3"/>
      <c r="E9" s="3"/>
      <c r="F9" s="3"/>
      <c r="G9" s="3"/>
      <c r="H9" s="3"/>
      <c r="L9" s="3" t="s">
        <v>45</v>
      </c>
      <c r="M9" s="3" t="str">
        <f t="shared" si="0"/>
        <v>n/a</v>
      </c>
      <c r="S9" s="1" t="s">
        <v>46</v>
      </c>
    </row>
    <row r="10" spans="1:19">
      <c r="A10" s="3"/>
      <c r="B10" s="3"/>
      <c r="C10" s="3"/>
      <c r="D10" s="3"/>
      <c r="E10" s="3"/>
      <c r="F10" s="3"/>
      <c r="G10" s="3"/>
      <c r="H10" s="3"/>
      <c r="L10" s="3" t="s">
        <v>47</v>
      </c>
      <c r="M10" s="3" t="str">
        <f t="shared" si="0"/>
        <v>n/a</v>
      </c>
      <c r="S10" s="1" t="s">
        <v>48</v>
      </c>
    </row>
    <row r="11" spans="1:19">
      <c r="A11" s="3"/>
      <c r="B11" s="3"/>
      <c r="C11" s="3"/>
      <c r="D11" s="3"/>
      <c r="E11" s="3"/>
      <c r="F11" s="3"/>
      <c r="G11" s="3"/>
      <c r="H11" s="3"/>
      <c r="L11" s="3" t="s">
        <v>49</v>
      </c>
      <c r="M11" s="3" t="str">
        <f t="shared" si="0"/>
        <v>n/a</v>
      </c>
      <c r="S11" s="1" t="s">
        <v>50</v>
      </c>
    </row>
    <row r="12" spans="1:19" ht="30">
      <c r="A12" s="3"/>
      <c r="B12" s="3"/>
      <c r="C12" s="3"/>
      <c r="D12" s="3"/>
      <c r="E12" s="3"/>
      <c r="F12" s="3"/>
      <c r="G12" s="3"/>
      <c r="H12" s="3"/>
      <c r="L12" s="3" t="s">
        <v>51</v>
      </c>
      <c r="M12" s="3" t="str">
        <f t="shared" si="0"/>
        <v>n/a</v>
      </c>
      <c r="S12" s="1" t="s">
        <v>52</v>
      </c>
    </row>
    <row r="13" spans="1:19">
      <c r="A13" s="3"/>
      <c r="B13" s="3"/>
      <c r="C13" s="3"/>
      <c r="D13" s="3"/>
      <c r="E13" s="3"/>
      <c r="F13" s="3"/>
      <c r="G13" s="3"/>
      <c r="H13" s="3"/>
      <c r="L13" s="3" t="s">
        <v>53</v>
      </c>
      <c r="M13" s="3" t="str">
        <f t="shared" si="0"/>
        <v>n/a</v>
      </c>
      <c r="S13" s="1" t="s">
        <v>54</v>
      </c>
    </row>
    <row r="14" spans="1:19">
      <c r="A14" s="3"/>
      <c r="B14" s="3"/>
      <c r="C14" s="3"/>
      <c r="D14" s="3"/>
      <c r="E14" s="3"/>
      <c r="F14" s="3"/>
      <c r="G14" s="3"/>
      <c r="H14" s="3"/>
      <c r="L14" s="3" t="s">
        <v>55</v>
      </c>
      <c r="M14" s="3" t="str">
        <f t="shared" si="0"/>
        <v>spi0 SCLK</v>
      </c>
      <c r="S14" s="1" t="s">
        <v>56</v>
      </c>
    </row>
    <row r="15" spans="1:19">
      <c r="L15" s="3" t="s">
        <v>57</v>
      </c>
      <c r="M15" s="3" t="str">
        <f t="shared" si="0"/>
        <v>spi0 MISO/POCI</v>
      </c>
      <c r="S15" s="1" t="s">
        <v>58</v>
      </c>
    </row>
    <row r="16" spans="1:19">
      <c r="L16" s="3" t="s">
        <v>59</v>
      </c>
      <c r="M16" s="3" t="str">
        <f t="shared" si="0"/>
        <v>spi0 MOSI/PICO</v>
      </c>
      <c r="S16" s="1" t="s">
        <v>60</v>
      </c>
    </row>
    <row r="17" spans="1:19" ht="23.85" customHeight="1">
      <c r="A17" s="41" t="s">
        <v>61</v>
      </c>
      <c r="B17" s="41"/>
      <c r="C17" s="41"/>
      <c r="D17" s="41"/>
      <c r="E17" s="41"/>
      <c r="F17" s="41"/>
      <c r="G17" s="41"/>
      <c r="H17" s="41"/>
      <c r="L17" s="3" t="s">
        <v>62</v>
      </c>
      <c r="M17" s="3" t="str">
        <f t="shared" si="0"/>
        <v>gpio</v>
      </c>
      <c r="S17" s="1" t="s">
        <v>63</v>
      </c>
    </row>
    <row r="18" spans="1:19" ht="15.75" customHeight="1">
      <c r="A18" s="41" t="s">
        <v>64</v>
      </c>
      <c r="B18" s="41" t="s">
        <v>14</v>
      </c>
      <c r="C18" s="41" t="s">
        <v>65</v>
      </c>
      <c r="D18" s="41" t="s">
        <v>66</v>
      </c>
      <c r="E18" s="41" t="s">
        <v>67</v>
      </c>
      <c r="F18" s="41"/>
      <c r="G18" s="41" t="s">
        <v>19</v>
      </c>
      <c r="H18" s="41"/>
      <c r="L18" s="3" t="s">
        <v>68</v>
      </c>
      <c r="M18" s="3" t="str">
        <f t="shared" si="0"/>
        <v>spi1 MISO/POCI</v>
      </c>
      <c r="S18" s="1" t="s">
        <v>69</v>
      </c>
    </row>
    <row r="19" spans="1:19">
      <c r="A19" s="41"/>
      <c r="B19" s="41"/>
      <c r="C19" s="41"/>
      <c r="D19" s="41"/>
      <c r="E19" s="41"/>
      <c r="F19" s="41"/>
      <c r="G19" s="5" t="s">
        <v>70</v>
      </c>
      <c r="H19" s="5" t="s">
        <v>71</v>
      </c>
      <c r="L19" s="3" t="s">
        <v>72</v>
      </c>
      <c r="M19" s="3" t="str">
        <f t="shared" si="0"/>
        <v>spi1 SCLK</v>
      </c>
      <c r="S19" s="1" t="s">
        <v>73</v>
      </c>
    </row>
    <row r="20" spans="1:19" ht="15.75" customHeight="1">
      <c r="A20" s="3" t="s">
        <v>42</v>
      </c>
      <c r="B20" s="3" t="s">
        <v>38</v>
      </c>
      <c r="C20" s="3" t="s">
        <v>74</v>
      </c>
      <c r="D20" s="3" t="s">
        <v>75</v>
      </c>
      <c r="E20" s="6"/>
      <c r="F20" s="7"/>
      <c r="G20" s="3" t="s">
        <v>62</v>
      </c>
      <c r="H20" s="3" t="s">
        <v>76</v>
      </c>
      <c r="L20" s="3" t="s">
        <v>77</v>
      </c>
      <c r="M20" s="3" t="str">
        <f t="shared" si="0"/>
        <v>spi1 MOSI/PICO</v>
      </c>
      <c r="S20" s="1" t="s">
        <v>78</v>
      </c>
    </row>
    <row r="21" spans="1:19">
      <c r="A21" s="3" t="s">
        <v>42</v>
      </c>
      <c r="B21" s="3"/>
      <c r="C21" s="3"/>
      <c r="D21" s="3" t="s">
        <v>79</v>
      </c>
      <c r="E21" s="6"/>
      <c r="F21" s="7"/>
      <c r="G21" s="3" t="s">
        <v>55</v>
      </c>
      <c r="H21" s="3" t="s">
        <v>80</v>
      </c>
      <c r="L21" s="3" t="s">
        <v>81</v>
      </c>
      <c r="M21" s="3" t="str">
        <f t="shared" si="0"/>
        <v>SWDIO</v>
      </c>
      <c r="S21" s="1" t="s">
        <v>82</v>
      </c>
    </row>
    <row r="22" spans="1:19" ht="30">
      <c r="A22" s="3" t="s">
        <v>42</v>
      </c>
      <c r="B22" s="3"/>
      <c r="C22" s="3"/>
      <c r="D22" s="3" t="s">
        <v>83</v>
      </c>
      <c r="E22" s="6"/>
      <c r="F22" s="7"/>
      <c r="G22" s="3" t="s">
        <v>57</v>
      </c>
      <c r="H22" s="3" t="s">
        <v>84</v>
      </c>
      <c r="L22" s="3" t="s">
        <v>85</v>
      </c>
      <c r="M22" s="3" t="str">
        <f t="shared" si="0"/>
        <v>SWCLK</v>
      </c>
      <c r="S22" s="1" t="s">
        <v>86</v>
      </c>
    </row>
    <row r="23" spans="1:19">
      <c r="A23" s="3" t="s">
        <v>42</v>
      </c>
      <c r="B23" s="3"/>
      <c r="C23" s="3"/>
      <c r="D23" s="3" t="s">
        <v>79</v>
      </c>
      <c r="E23" s="6"/>
      <c r="F23" s="7"/>
      <c r="G23" s="3" t="s">
        <v>59</v>
      </c>
      <c r="H23" s="3" t="s">
        <v>87</v>
      </c>
      <c r="L23" s="3" t="s">
        <v>88</v>
      </c>
      <c r="M23" s="3" t="str">
        <f t="shared" si="0"/>
        <v>UART2 tx</v>
      </c>
    </row>
    <row r="24" spans="1:19" ht="45">
      <c r="A24" s="3" t="s">
        <v>32</v>
      </c>
      <c r="B24" s="3"/>
      <c r="C24" s="3"/>
      <c r="D24" s="3" t="s">
        <v>79</v>
      </c>
      <c r="E24" s="6"/>
      <c r="F24" s="7"/>
      <c r="G24" s="3" t="s">
        <v>72</v>
      </c>
      <c r="H24" s="3" t="s">
        <v>89</v>
      </c>
      <c r="L24" s="3" t="s">
        <v>90</v>
      </c>
      <c r="M24" s="3" t="str">
        <f t="shared" si="0"/>
        <v>UART2 rx</v>
      </c>
      <c r="S24" s="1" t="s">
        <v>91</v>
      </c>
    </row>
    <row r="25" spans="1:19">
      <c r="A25" s="3" t="s">
        <v>32</v>
      </c>
      <c r="B25" s="3"/>
      <c r="C25" s="3"/>
      <c r="D25" s="3" t="s">
        <v>83</v>
      </c>
      <c r="E25" s="42"/>
      <c r="F25" s="42"/>
      <c r="G25" s="3" t="s">
        <v>68</v>
      </c>
      <c r="H25" s="3" t="s">
        <v>92</v>
      </c>
      <c r="L25" s="3" t="s">
        <v>93</v>
      </c>
      <c r="M25" s="3" t="str">
        <f t="shared" si="0"/>
        <v>PWM</v>
      </c>
      <c r="S25" s="1" t="s">
        <v>94</v>
      </c>
    </row>
    <row r="26" spans="1:19">
      <c r="A26" s="3" t="s">
        <v>32</v>
      </c>
      <c r="B26" s="3"/>
      <c r="C26" s="3"/>
      <c r="D26" s="3" t="s">
        <v>79</v>
      </c>
      <c r="E26" s="42"/>
      <c r="F26" s="42"/>
      <c r="G26" s="3" t="s">
        <v>77</v>
      </c>
      <c r="H26" s="3" t="s">
        <v>95</v>
      </c>
      <c r="L26" s="3" t="s">
        <v>96</v>
      </c>
      <c r="M26" s="3" t="str">
        <f t="shared" si="0"/>
        <v>A0 #3</v>
      </c>
      <c r="S26" s="1" t="s">
        <v>97</v>
      </c>
    </row>
    <row r="27" spans="1:19" ht="30">
      <c r="A27" s="3" t="s">
        <v>32</v>
      </c>
      <c r="B27" s="3" t="s">
        <v>98</v>
      </c>
      <c r="C27" s="3" t="s">
        <v>99</v>
      </c>
      <c r="D27" s="3" t="s">
        <v>75</v>
      </c>
      <c r="E27" s="42"/>
      <c r="F27" s="42"/>
      <c r="G27" s="3" t="s">
        <v>100</v>
      </c>
      <c r="H27" s="3" t="s">
        <v>76</v>
      </c>
      <c r="L27" s="3" t="s">
        <v>101</v>
      </c>
      <c r="M27" s="3" t="str">
        <f t="shared" si="0"/>
        <v>n/a</v>
      </c>
      <c r="S27" s="1" t="s">
        <v>185</v>
      </c>
    </row>
    <row r="28" spans="1:19">
      <c r="A28" s="3" t="s">
        <v>32</v>
      </c>
      <c r="B28" s="3" t="s">
        <v>98</v>
      </c>
      <c r="C28" s="3" t="s">
        <v>102</v>
      </c>
      <c r="D28" s="3" t="s">
        <v>75</v>
      </c>
      <c r="E28" s="42"/>
      <c r="F28" s="42"/>
      <c r="G28" s="3" t="s">
        <v>103</v>
      </c>
      <c r="H28" s="3" t="s">
        <v>76</v>
      </c>
      <c r="L28" s="3" t="s">
        <v>104</v>
      </c>
      <c r="M28" s="3" t="str">
        <f t="shared" si="0"/>
        <v>MCAN0 TX</v>
      </c>
    </row>
    <row r="29" spans="1:19">
      <c r="A29" s="3" t="s">
        <v>105</v>
      </c>
      <c r="B29" s="3" t="s">
        <v>106</v>
      </c>
      <c r="C29" s="3" t="s">
        <v>107</v>
      </c>
      <c r="D29" s="3" t="s">
        <v>79</v>
      </c>
      <c r="E29" s="42"/>
      <c r="F29" s="42"/>
      <c r="G29" s="3" t="s">
        <v>88</v>
      </c>
      <c r="H29" s="3" t="s">
        <v>108</v>
      </c>
      <c r="L29" s="3" t="s">
        <v>109</v>
      </c>
      <c r="M29" s="3" t="str">
        <f t="shared" si="0"/>
        <v>MCAN0 RX</v>
      </c>
    </row>
    <row r="30" spans="1:19">
      <c r="A30" s="3" t="s">
        <v>105</v>
      </c>
      <c r="B30" s="3" t="s">
        <v>106</v>
      </c>
      <c r="C30" s="3" t="s">
        <v>107</v>
      </c>
      <c r="D30" s="3" t="s">
        <v>83</v>
      </c>
      <c r="E30" s="42"/>
      <c r="F30" s="42"/>
      <c r="G30" s="3" t="s">
        <v>90</v>
      </c>
      <c r="H30" s="3" t="s">
        <v>110</v>
      </c>
      <c r="L30" s="3" t="s">
        <v>111</v>
      </c>
      <c r="M30" s="3" t="str">
        <f t="shared" si="0"/>
        <v>n/a</v>
      </c>
    </row>
    <row r="31" spans="1:19">
      <c r="L31" s="3" t="s">
        <v>112</v>
      </c>
      <c r="M31" s="3" t="str">
        <f t="shared" si="0"/>
        <v>n/a</v>
      </c>
    </row>
    <row r="32" spans="1:19" ht="15" customHeight="1">
      <c r="A32" s="41" t="s">
        <v>113</v>
      </c>
      <c r="B32" s="41"/>
      <c r="C32" s="41"/>
      <c r="D32" s="41"/>
      <c r="E32" s="41"/>
      <c r="F32" s="41"/>
      <c r="G32" s="41"/>
      <c r="H32" s="41"/>
      <c r="L32" s="3" t="s">
        <v>114</v>
      </c>
      <c r="M32" s="3" t="str">
        <f t="shared" si="0"/>
        <v>n/a</v>
      </c>
    </row>
    <row r="33" spans="1:13" ht="15" customHeight="1">
      <c r="A33" s="41" t="s">
        <v>13</v>
      </c>
      <c r="B33" s="41" t="s">
        <v>14</v>
      </c>
      <c r="C33" s="41" t="s">
        <v>115</v>
      </c>
      <c r="D33" s="41" t="s">
        <v>66</v>
      </c>
      <c r="E33" s="41" t="s">
        <v>67</v>
      </c>
      <c r="F33" s="41"/>
      <c r="G33" s="41" t="s">
        <v>19</v>
      </c>
      <c r="H33" s="41"/>
      <c r="L33" s="3" t="s">
        <v>116</v>
      </c>
      <c r="M33" s="3" t="str">
        <f t="shared" si="0"/>
        <v>n/a</v>
      </c>
    </row>
    <row r="34" spans="1:13">
      <c r="A34" s="41"/>
      <c r="B34" s="41"/>
      <c r="C34" s="41"/>
      <c r="D34" s="41"/>
      <c r="E34" s="41"/>
      <c r="F34" s="41"/>
      <c r="G34" s="5" t="s">
        <v>70</v>
      </c>
      <c r="H34" s="5" t="s">
        <v>71</v>
      </c>
      <c r="L34" s="3" t="s">
        <v>117</v>
      </c>
      <c r="M34" s="3" t="str">
        <f t="shared" ref="M34:M65" si="1">IFERROR(INDEX($H$15:$H$1000, MATCH($L34, $G$15:$G$1000, 0)), "n/a")</f>
        <v>gpio</v>
      </c>
    </row>
    <row r="35" spans="1:13" ht="15" customHeight="1">
      <c r="A35" s="3" t="s">
        <v>26</v>
      </c>
      <c r="B35" s="3" t="s">
        <v>118</v>
      </c>
      <c r="C35" s="3" t="s">
        <v>119</v>
      </c>
      <c r="D35" s="3" t="s">
        <v>75</v>
      </c>
      <c r="E35" s="42" t="s">
        <v>120</v>
      </c>
      <c r="F35" s="42"/>
      <c r="G35" s="3" t="s">
        <v>104</v>
      </c>
      <c r="H35" s="3" t="s">
        <v>121</v>
      </c>
      <c r="L35" s="3" t="s">
        <v>122</v>
      </c>
      <c r="M35" s="3" t="str">
        <f t="shared" si="1"/>
        <v>gpio</v>
      </c>
    </row>
    <row r="36" spans="1:13" ht="15" customHeight="1">
      <c r="A36" s="3" t="s">
        <v>26</v>
      </c>
      <c r="B36" s="3" t="s">
        <v>118</v>
      </c>
      <c r="C36" s="3" t="s">
        <v>119</v>
      </c>
      <c r="D36" s="3" t="s">
        <v>83</v>
      </c>
      <c r="E36" s="42" t="s">
        <v>120</v>
      </c>
      <c r="F36" s="42"/>
      <c r="G36" s="3" t="s">
        <v>109</v>
      </c>
      <c r="H36" s="3" t="s">
        <v>123</v>
      </c>
      <c r="L36" s="3" t="s">
        <v>124</v>
      </c>
      <c r="M36" s="3" t="str">
        <f t="shared" si="1"/>
        <v>gpio</v>
      </c>
    </row>
    <row r="37" spans="1:13" ht="15" customHeight="1">
      <c r="A37" s="3" t="s">
        <v>26</v>
      </c>
      <c r="B37" s="3" t="s">
        <v>106</v>
      </c>
      <c r="C37" s="3" t="s">
        <v>125</v>
      </c>
      <c r="D37" s="3" t="s">
        <v>126</v>
      </c>
      <c r="E37" s="42" t="s">
        <v>127</v>
      </c>
      <c r="F37" s="42"/>
      <c r="G37" s="3" t="s">
        <v>81</v>
      </c>
      <c r="H37" s="3" t="s">
        <v>128</v>
      </c>
      <c r="L37" s="3" t="s">
        <v>129</v>
      </c>
      <c r="M37" s="3" t="str">
        <f t="shared" si="1"/>
        <v>gpio</v>
      </c>
    </row>
    <row r="38" spans="1:13" ht="15" customHeight="1">
      <c r="A38" s="3" t="s">
        <v>26</v>
      </c>
      <c r="B38" s="3" t="s">
        <v>106</v>
      </c>
      <c r="C38" s="3" t="s">
        <v>125</v>
      </c>
      <c r="D38" s="3" t="s">
        <v>126</v>
      </c>
      <c r="E38" s="42" t="s">
        <v>127</v>
      </c>
      <c r="F38" s="42"/>
      <c r="G38" s="3" t="s">
        <v>85</v>
      </c>
      <c r="H38" s="3" t="s">
        <v>130</v>
      </c>
      <c r="L38" s="3" t="s">
        <v>131</v>
      </c>
      <c r="M38" s="3" t="str">
        <f t="shared" si="1"/>
        <v>n/a</v>
      </c>
    </row>
    <row r="39" spans="1:13">
      <c r="A39" s="3" t="s">
        <v>26</v>
      </c>
      <c r="B39" s="3" t="s">
        <v>132</v>
      </c>
      <c r="C39" s="3" t="s">
        <v>133</v>
      </c>
      <c r="D39" s="3" t="s">
        <v>75</v>
      </c>
      <c r="E39" s="42"/>
      <c r="F39" s="42"/>
      <c r="G39" s="3" t="s">
        <v>122</v>
      </c>
      <c r="H39" s="3" t="s">
        <v>76</v>
      </c>
      <c r="L39" s="3" t="s">
        <v>134</v>
      </c>
      <c r="M39" s="3" t="str">
        <f t="shared" si="1"/>
        <v>n/a</v>
      </c>
    </row>
    <row r="40" spans="1:13">
      <c r="A40" s="3" t="s">
        <v>26</v>
      </c>
      <c r="B40" s="3" t="s">
        <v>132</v>
      </c>
      <c r="C40" s="3" t="s">
        <v>135</v>
      </c>
      <c r="D40" s="3" t="s">
        <v>75</v>
      </c>
      <c r="E40" s="42"/>
      <c r="F40" s="42"/>
      <c r="G40" s="3" t="s">
        <v>36</v>
      </c>
      <c r="H40" s="3" t="s">
        <v>76</v>
      </c>
      <c r="L40" s="3" t="s">
        <v>136</v>
      </c>
      <c r="M40" s="3" t="str">
        <f t="shared" si="1"/>
        <v>n/a</v>
      </c>
    </row>
    <row r="41" spans="1:13">
      <c r="A41" s="3" t="s">
        <v>26</v>
      </c>
      <c r="B41" s="3" t="s">
        <v>132</v>
      </c>
      <c r="C41" s="3" t="s">
        <v>137</v>
      </c>
      <c r="D41" s="3" t="s">
        <v>75</v>
      </c>
      <c r="E41" s="42"/>
      <c r="F41" s="42"/>
      <c r="G41" s="3" t="s">
        <v>43</v>
      </c>
      <c r="H41" s="3" t="s">
        <v>76</v>
      </c>
      <c r="L41" s="3" t="s">
        <v>103</v>
      </c>
      <c r="M41" s="3" t="str">
        <f t="shared" si="1"/>
        <v>gpio</v>
      </c>
    </row>
    <row r="42" spans="1:13" ht="30">
      <c r="A42" s="3" t="s">
        <v>26</v>
      </c>
      <c r="B42" s="3" t="s">
        <v>132</v>
      </c>
      <c r="C42" s="3" t="s">
        <v>138</v>
      </c>
      <c r="D42" s="3" t="s">
        <v>75</v>
      </c>
      <c r="E42" s="42"/>
      <c r="F42" s="42"/>
      <c r="G42" s="3" t="s">
        <v>117</v>
      </c>
      <c r="H42" s="3" t="s">
        <v>76</v>
      </c>
      <c r="L42" s="3" t="s">
        <v>139</v>
      </c>
      <c r="M42" s="3" t="str">
        <f t="shared" si="1"/>
        <v>n/a</v>
      </c>
    </row>
    <row r="43" spans="1:13" ht="30">
      <c r="A43" s="3" t="s">
        <v>26</v>
      </c>
      <c r="B43" s="3" t="s">
        <v>140</v>
      </c>
      <c r="C43" s="3" t="s">
        <v>141</v>
      </c>
      <c r="D43" s="3" t="s">
        <v>75</v>
      </c>
      <c r="E43" s="42"/>
      <c r="F43" s="42"/>
      <c r="G43" s="3" t="s">
        <v>129</v>
      </c>
      <c r="H43" s="3" t="s">
        <v>76</v>
      </c>
      <c r="L43" s="3" t="s">
        <v>142</v>
      </c>
      <c r="M43" s="3" t="str">
        <f t="shared" si="1"/>
        <v>n/a</v>
      </c>
    </row>
    <row r="44" spans="1:13" ht="30">
      <c r="A44" s="3" t="s">
        <v>26</v>
      </c>
      <c r="B44" s="3" t="s">
        <v>140</v>
      </c>
      <c r="C44" s="3" t="s">
        <v>143</v>
      </c>
      <c r="D44" s="3" t="s">
        <v>83</v>
      </c>
      <c r="E44" s="42"/>
      <c r="F44" s="42"/>
      <c r="G44" s="3" t="s">
        <v>124</v>
      </c>
      <c r="H44" s="3" t="s">
        <v>76</v>
      </c>
      <c r="L44" s="3" t="s">
        <v>144</v>
      </c>
      <c r="M44" s="3" t="str">
        <f t="shared" si="1"/>
        <v>n/a</v>
      </c>
    </row>
    <row r="45" spans="1:13" ht="30">
      <c r="A45" s="3" t="s">
        <v>26</v>
      </c>
      <c r="B45" s="3" t="s">
        <v>145</v>
      </c>
      <c r="C45" s="3" t="s">
        <v>146</v>
      </c>
      <c r="D45" s="3" t="s">
        <v>79</v>
      </c>
      <c r="E45" s="42"/>
      <c r="F45" s="42"/>
      <c r="G45" s="3" t="s">
        <v>93</v>
      </c>
      <c r="H45" s="3" t="s">
        <v>147</v>
      </c>
      <c r="L45" s="3" t="s">
        <v>148</v>
      </c>
      <c r="M45" s="3" t="str">
        <f t="shared" si="1"/>
        <v>n/a</v>
      </c>
    </row>
    <row r="46" spans="1:13" ht="15" customHeight="1">
      <c r="A46" s="3" t="s">
        <v>26</v>
      </c>
      <c r="B46" s="3" t="s">
        <v>145</v>
      </c>
      <c r="C46" s="3" t="s">
        <v>149</v>
      </c>
      <c r="D46" s="3" t="s">
        <v>79</v>
      </c>
      <c r="E46" s="42" t="s">
        <v>150</v>
      </c>
      <c r="F46" s="42"/>
      <c r="G46" s="3" t="s">
        <v>151</v>
      </c>
      <c r="H46" s="3" t="s">
        <v>147</v>
      </c>
      <c r="L46" s="3" t="s">
        <v>152</v>
      </c>
      <c r="M46" s="3" t="str">
        <f t="shared" si="1"/>
        <v>n/a</v>
      </c>
    </row>
    <row r="47" spans="1:13" ht="15" customHeight="1">
      <c r="A47" s="3" t="s">
        <v>26</v>
      </c>
      <c r="B47" s="3" t="s">
        <v>145</v>
      </c>
      <c r="C47" s="3" t="s">
        <v>153</v>
      </c>
      <c r="D47" s="3" t="s">
        <v>79</v>
      </c>
      <c r="E47" s="42" t="s">
        <v>150</v>
      </c>
      <c r="F47" s="42"/>
      <c r="G47" s="3" t="s">
        <v>151</v>
      </c>
      <c r="H47" s="3" t="s">
        <v>147</v>
      </c>
      <c r="L47" s="3" t="s">
        <v>100</v>
      </c>
      <c r="M47" s="3" t="str">
        <f t="shared" si="1"/>
        <v>gpio</v>
      </c>
    </row>
    <row r="48" spans="1:13" ht="15" customHeight="1">
      <c r="A48" s="3" t="s">
        <v>26</v>
      </c>
      <c r="B48" s="3" t="s">
        <v>145</v>
      </c>
      <c r="C48" s="3" t="s">
        <v>154</v>
      </c>
      <c r="D48" s="3" t="s">
        <v>79</v>
      </c>
      <c r="E48" s="42" t="s">
        <v>150</v>
      </c>
      <c r="F48" s="42"/>
      <c r="G48" s="3" t="s">
        <v>151</v>
      </c>
      <c r="H48" s="3" t="s">
        <v>147</v>
      </c>
      <c r="L48" s="3" t="s">
        <v>155</v>
      </c>
      <c r="M48" s="3" t="str">
        <f t="shared" si="1"/>
        <v>n/a</v>
      </c>
    </row>
    <row r="49" spans="1:13" ht="30">
      <c r="A49" s="3" t="s">
        <v>26</v>
      </c>
      <c r="B49" s="3" t="s">
        <v>156</v>
      </c>
      <c r="C49" s="3" t="s">
        <v>157</v>
      </c>
      <c r="D49" s="3" t="s">
        <v>158</v>
      </c>
      <c r="E49" s="42"/>
      <c r="F49" s="42"/>
      <c r="G49" s="3" t="s">
        <v>96</v>
      </c>
      <c r="H49" s="3" t="s">
        <v>159</v>
      </c>
      <c r="L49" s="3" t="s">
        <v>160</v>
      </c>
      <c r="M49" s="3" t="str">
        <f t="shared" si="1"/>
        <v>uart TX</v>
      </c>
    </row>
    <row r="50" spans="1:13" ht="15" customHeight="1">
      <c r="A50" s="3" t="s">
        <v>26</v>
      </c>
      <c r="B50" s="3" t="s">
        <v>156</v>
      </c>
      <c r="C50" s="3" t="s">
        <v>161</v>
      </c>
      <c r="D50" s="3" t="s">
        <v>158</v>
      </c>
      <c r="E50" s="42" t="s">
        <v>150</v>
      </c>
      <c r="F50" s="42"/>
      <c r="G50" s="3" t="s">
        <v>151</v>
      </c>
      <c r="H50" s="3" t="s">
        <v>158</v>
      </c>
      <c r="L50" s="3" t="s">
        <v>162</v>
      </c>
      <c r="M50" s="3" t="str">
        <f t="shared" si="1"/>
        <v>gpio</v>
      </c>
    </row>
    <row r="51" spans="1:13" ht="33.75" customHeight="1">
      <c r="A51" s="3" t="s">
        <v>26</v>
      </c>
      <c r="B51" s="3" t="s">
        <v>163</v>
      </c>
      <c r="C51" s="3" t="s">
        <v>164</v>
      </c>
      <c r="D51" s="3" t="s">
        <v>83</v>
      </c>
      <c r="E51" s="42" t="s">
        <v>165</v>
      </c>
      <c r="F51" s="42"/>
      <c r="G51" s="3" t="s">
        <v>166</v>
      </c>
      <c r="H51" s="3" t="s">
        <v>76</v>
      </c>
      <c r="L51" s="3" t="s">
        <v>167</v>
      </c>
      <c r="M51" s="3" t="str">
        <f t="shared" si="1"/>
        <v>n/a</v>
      </c>
    </row>
    <row r="52" spans="1:13" ht="45">
      <c r="A52" s="3" t="s">
        <v>26</v>
      </c>
      <c r="B52" s="3" t="s">
        <v>163</v>
      </c>
      <c r="C52" s="3" t="s">
        <v>168</v>
      </c>
      <c r="D52" s="3" t="s">
        <v>83</v>
      </c>
      <c r="E52" s="42"/>
      <c r="F52" s="42"/>
      <c r="G52" s="3" t="s">
        <v>169</v>
      </c>
      <c r="H52" s="3" t="s">
        <v>76</v>
      </c>
      <c r="L52" s="3" t="s">
        <v>170</v>
      </c>
      <c r="M52" s="3" t="str">
        <f t="shared" si="1"/>
        <v>n/a</v>
      </c>
    </row>
    <row r="53" spans="1:13">
      <c r="A53" s="3" t="s">
        <v>26</v>
      </c>
      <c r="B53" s="3" t="s">
        <v>38</v>
      </c>
      <c r="C53" s="3" t="s">
        <v>171</v>
      </c>
      <c r="D53" s="3" t="s">
        <v>83</v>
      </c>
      <c r="E53" s="42"/>
      <c r="F53" s="42"/>
      <c r="G53" s="3" t="s">
        <v>162</v>
      </c>
      <c r="H53" s="3" t="s">
        <v>76</v>
      </c>
      <c r="L53" s="3" t="s">
        <v>172</v>
      </c>
      <c r="M53" s="3" t="str">
        <f t="shared" si="1"/>
        <v>n/a</v>
      </c>
    </row>
    <row r="54" spans="1:13">
      <c r="A54" s="3" t="s">
        <v>26</v>
      </c>
      <c r="B54" s="3" t="s">
        <v>38</v>
      </c>
      <c r="C54" s="3" t="s">
        <v>173</v>
      </c>
      <c r="D54" s="3" t="s">
        <v>75</v>
      </c>
      <c r="E54" s="42"/>
      <c r="F54" s="42"/>
      <c r="G54" s="3" t="s">
        <v>160</v>
      </c>
      <c r="H54" s="3" t="s">
        <v>174</v>
      </c>
      <c r="L54" s="3" t="s">
        <v>175</v>
      </c>
      <c r="M54" s="3" t="str">
        <f t="shared" si="1"/>
        <v>n/a</v>
      </c>
    </row>
    <row r="55" spans="1:13">
      <c r="A55" s="3"/>
      <c r="B55" s="3"/>
      <c r="C55" s="3"/>
      <c r="D55" s="3"/>
      <c r="E55" s="42"/>
      <c r="F55" s="42"/>
      <c r="G55" s="3"/>
      <c r="H55" s="3"/>
      <c r="L55" s="3" t="s">
        <v>176</v>
      </c>
      <c r="M55" s="3" t="str">
        <f t="shared" si="1"/>
        <v>n/a</v>
      </c>
    </row>
    <row r="56" spans="1:13">
      <c r="A56" s="3"/>
      <c r="B56" s="3"/>
      <c r="C56" s="3"/>
      <c r="D56" s="3"/>
      <c r="E56" s="42"/>
      <c r="F56" s="42"/>
      <c r="G56" s="3"/>
      <c r="H56" s="3"/>
      <c r="L56" s="3" t="s">
        <v>177</v>
      </c>
      <c r="M56" s="3" t="str">
        <f t="shared" si="1"/>
        <v>n/a</v>
      </c>
    </row>
    <row r="57" spans="1:13">
      <c r="A57" s="3"/>
      <c r="B57" s="3"/>
      <c r="C57" s="3"/>
      <c r="D57" s="3"/>
      <c r="E57" s="42"/>
      <c r="F57" s="42"/>
      <c r="G57" s="3"/>
      <c r="H57" s="3"/>
      <c r="L57" s="3" t="s">
        <v>178</v>
      </c>
      <c r="M57" s="3" t="str">
        <f t="shared" si="1"/>
        <v>n/a</v>
      </c>
    </row>
    <row r="58" spans="1:13">
      <c r="A58" s="3"/>
      <c r="B58" s="3"/>
      <c r="C58" s="3"/>
      <c r="D58" s="3"/>
      <c r="E58" s="42"/>
      <c r="F58" s="42"/>
      <c r="G58" s="3"/>
      <c r="H58" s="3"/>
      <c r="L58" s="3" t="s">
        <v>179</v>
      </c>
      <c r="M58" s="3" t="str">
        <f t="shared" si="1"/>
        <v>n/a</v>
      </c>
    </row>
    <row r="59" spans="1:13">
      <c r="L59" s="3" t="s">
        <v>180</v>
      </c>
      <c r="M59" s="3" t="str">
        <f t="shared" si="1"/>
        <v>n/a</v>
      </c>
    </row>
    <row r="60" spans="1:13">
      <c r="L60" s="3" t="s">
        <v>166</v>
      </c>
      <c r="M60" s="3" t="str">
        <f t="shared" si="1"/>
        <v>gpio</v>
      </c>
    </row>
    <row r="61" spans="1:13">
      <c r="L61" s="3" t="s">
        <v>169</v>
      </c>
      <c r="M61" s="3" t="str">
        <f t="shared" si="1"/>
        <v>gpio</v>
      </c>
    </row>
    <row r="62" spans="1:13">
      <c r="L62" s="3" t="s">
        <v>181</v>
      </c>
      <c r="M62" s="3" t="str">
        <f t="shared" si="1"/>
        <v>n/a</v>
      </c>
    </row>
    <row r="63" spans="1:13">
      <c r="L63" s="3" t="s">
        <v>182</v>
      </c>
      <c r="M63" s="3" t="str">
        <f t="shared" si="1"/>
        <v>n/a</v>
      </c>
    </row>
    <row r="64" spans="1:13">
      <c r="L64" s="3" t="s">
        <v>183</v>
      </c>
      <c r="M64" s="3" t="str">
        <f t="shared" si="1"/>
        <v>n/a</v>
      </c>
    </row>
    <row r="65" spans="12:13">
      <c r="L65" s="3" t="s">
        <v>184</v>
      </c>
      <c r="M65" s="3" t="str">
        <f t="shared" si="1"/>
        <v>n/a</v>
      </c>
    </row>
    <row r="66" spans="12:13">
      <c r="L66" s="3"/>
      <c r="M66" s="3"/>
    </row>
    <row r="67" spans="12:13">
      <c r="L67" s="3"/>
      <c r="M67" s="3"/>
    </row>
  </sheetData>
  <mergeCells count="53">
    <mergeCell ref="E55:F55"/>
    <mergeCell ref="E56:F56"/>
    <mergeCell ref="E57:F57"/>
    <mergeCell ref="E58:F58"/>
    <mergeCell ref="E50:F50"/>
    <mergeCell ref="E51:F51"/>
    <mergeCell ref="E52:F52"/>
    <mergeCell ref="E53:F53"/>
    <mergeCell ref="E54:F54"/>
    <mergeCell ref="E45:F45"/>
    <mergeCell ref="E46:F46"/>
    <mergeCell ref="E47:F47"/>
    <mergeCell ref="E48:F48"/>
    <mergeCell ref="E49:F49"/>
    <mergeCell ref="E40:F40"/>
    <mergeCell ref="E41:F41"/>
    <mergeCell ref="E42:F42"/>
    <mergeCell ref="E43:F43"/>
    <mergeCell ref="E44:F44"/>
    <mergeCell ref="E35:F35"/>
    <mergeCell ref="E36:F36"/>
    <mergeCell ref="E37:F37"/>
    <mergeCell ref="E38:F38"/>
    <mergeCell ref="E39:F39"/>
    <mergeCell ref="E30:F30"/>
    <mergeCell ref="A32:H32"/>
    <mergeCell ref="A33:A34"/>
    <mergeCell ref="B33:B34"/>
    <mergeCell ref="C33:C34"/>
    <mergeCell ref="D33:D34"/>
    <mergeCell ref="E33:F34"/>
    <mergeCell ref="G33:H33"/>
    <mergeCell ref="E25:F25"/>
    <mergeCell ref="E26:F26"/>
    <mergeCell ref="E27:F27"/>
    <mergeCell ref="E28:F28"/>
    <mergeCell ref="E29:F29"/>
    <mergeCell ref="A17:H17"/>
    <mergeCell ref="A18:A19"/>
    <mergeCell ref="B18:B19"/>
    <mergeCell ref="C18:C19"/>
    <mergeCell ref="D18:D19"/>
    <mergeCell ref="E18:F19"/>
    <mergeCell ref="G18:H18"/>
    <mergeCell ref="O1:Q1"/>
    <mergeCell ref="A3:H3"/>
    <mergeCell ref="A4:A5"/>
    <mergeCell ref="B4:B5"/>
    <mergeCell ref="C4:C5"/>
    <mergeCell ref="D4:D5"/>
    <mergeCell ref="E4:E5"/>
    <mergeCell ref="F4:F5"/>
    <mergeCell ref="G4:H4"/>
  </mergeCells>
  <conditionalFormatting sqref="K3">
    <cfRule type="cellIs" dxfId="6" priority="2" operator="notEqual">
      <formula>"n/a"</formula>
    </cfRule>
  </conditionalFormatting>
  <conditionalFormatting sqref="M1:M1048576 K3">
    <cfRule type="cellIs" dxfId="5" priority="3" operator="equal">
      <formula>"n/a"</formula>
    </cfRule>
  </conditionalFormatting>
  <hyperlinks>
    <hyperlink ref="S24" r:id="rId1" display="https://www.digikey.com/en/products/detail/ecs-inc/ECS-250-10-37-JTN-TR/8023262?gclsrc=aw.ds&amp;gad_source=1&amp;gad_campaignid=17922795960&amp;gclid=CjwKCAiAjc7KBhBvEiwAE2BDOTfLeOBIzINr9MwUFi-HKbTRhdRcOiDyKsH142M90xEiJQJMj9BQ5xoCvNAQAvD_BwE" xr:uid="{00000000-0004-0000-0000-000000000000}"/>
  </hyperlinks>
  <pageMargins left="0.7" right="0.7" top="0.75" bottom="0.75" header="0.511811023622047" footer="0.511811023622047"/>
  <pageSetup orientation="portrait" horizontalDpi="300" verticalDpi="30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FE1-B017-4B5D-A74A-A8C038FEF2D3}">
  <sheetPr codeName="Sheet2"/>
  <dimension ref="A1:E30"/>
  <sheetViews>
    <sheetView workbookViewId="0"/>
  </sheetViews>
  <sheetFormatPr defaultRowHeight="15"/>
  <cols>
    <col min="1" max="1" width="14.5703125" customWidth="1"/>
    <col min="2" max="2" width="111.85546875" customWidth="1"/>
    <col min="5" max="5" width="11.5703125" customWidth="1"/>
  </cols>
  <sheetData>
    <row r="1" spans="1:5">
      <c r="A1" t="s">
        <v>188</v>
      </c>
      <c r="E1" s="8" t="s">
        <v>303</v>
      </c>
    </row>
    <row r="2" spans="1:5">
      <c r="B2" t="s">
        <v>187</v>
      </c>
      <c r="E2" s="8" t="s">
        <v>205</v>
      </c>
    </row>
    <row r="3" spans="1:5">
      <c r="A3" t="s">
        <v>189</v>
      </c>
      <c r="E3" s="8" t="s">
        <v>206</v>
      </c>
    </row>
    <row r="4" spans="1:5">
      <c r="B4" t="s">
        <v>190</v>
      </c>
      <c r="E4" s="8" t="s">
        <v>207</v>
      </c>
    </row>
    <row r="5" spans="1:5">
      <c r="B5" t="s">
        <v>193</v>
      </c>
      <c r="E5" s="8" t="s">
        <v>208</v>
      </c>
    </row>
    <row r="6" spans="1:5">
      <c r="A6" t="s">
        <v>194</v>
      </c>
      <c r="B6" t="s">
        <v>191</v>
      </c>
      <c r="E6" s="8" t="s">
        <v>262</v>
      </c>
    </row>
    <row r="7" spans="1:5">
      <c r="B7" t="s">
        <v>192</v>
      </c>
      <c r="E7" s="8" t="s">
        <v>209</v>
      </c>
    </row>
    <row r="8" spans="1:5">
      <c r="B8" t="s">
        <v>195</v>
      </c>
      <c r="E8" s="8" t="s">
        <v>210</v>
      </c>
    </row>
    <row r="9" spans="1:5">
      <c r="B9" t="s">
        <v>196</v>
      </c>
      <c r="E9" s="8"/>
    </row>
    <row r="10" spans="1:5">
      <c r="A10" t="s">
        <v>194</v>
      </c>
      <c r="B10" t="s">
        <v>199</v>
      </c>
      <c r="E10" s="8"/>
    </row>
    <row r="11" spans="1:5">
      <c r="B11" t="s">
        <v>202</v>
      </c>
      <c r="E11" s="8"/>
    </row>
    <row r="12" spans="1:5">
      <c r="E12" s="8"/>
    </row>
    <row r="13" spans="1:5">
      <c r="E13" s="8"/>
    </row>
    <row r="14" spans="1:5">
      <c r="E14" s="8"/>
    </row>
    <row r="15" spans="1:5">
      <c r="E15" s="8"/>
    </row>
    <row r="16" spans="1:5">
      <c r="A16" t="s">
        <v>200</v>
      </c>
      <c r="E16" s="8"/>
    </row>
    <row r="17" spans="2:5">
      <c r="B17" t="s">
        <v>201</v>
      </c>
      <c r="E17" s="8"/>
    </row>
    <row r="18" spans="2:5">
      <c r="E18" s="8"/>
    </row>
    <row r="19" spans="2:5">
      <c r="E19" s="8"/>
    </row>
    <row r="20" spans="2:5">
      <c r="E20" s="8"/>
    </row>
    <row r="21" spans="2:5">
      <c r="E21" s="8"/>
    </row>
    <row r="22" spans="2:5">
      <c r="E22" s="8"/>
    </row>
    <row r="23" spans="2:5">
      <c r="E23" s="8"/>
    </row>
    <row r="24" spans="2:5">
      <c r="E24" s="8"/>
    </row>
    <row r="25" spans="2:5">
      <c r="E25" s="8"/>
    </row>
    <row r="26" spans="2:5">
      <c r="E26" s="8"/>
    </row>
    <row r="27" spans="2:5">
      <c r="E27" s="8"/>
    </row>
    <row r="28" spans="2:5">
      <c r="E28" s="8"/>
    </row>
    <row r="29" spans="2:5">
      <c r="E29" s="8"/>
    </row>
    <row r="30" spans="2:5">
      <c r="E3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85C4-1509-4EE7-BF85-5FAE77085CAD}">
  <sheetPr codeName="Sheet3"/>
  <dimension ref="A7:O41"/>
  <sheetViews>
    <sheetView topLeftCell="A11" workbookViewId="0"/>
  </sheetViews>
  <sheetFormatPr defaultRowHeight="15"/>
  <cols>
    <col min="1" max="1" width="12.42578125" customWidth="1"/>
    <col min="2" max="2" width="24.28515625" customWidth="1"/>
    <col min="3" max="3" width="21.140625" customWidth="1"/>
    <col min="4" max="4" width="10.7109375" customWidth="1"/>
    <col min="5" max="5" width="13.28515625" customWidth="1"/>
    <col min="6" max="6" width="15.140625" customWidth="1"/>
    <col min="7" max="7" width="37.5703125" customWidth="1"/>
    <col min="8" max="8" width="9.140625" customWidth="1"/>
    <col min="9" max="9" width="9.42578125" customWidth="1"/>
    <col min="10" max="10" width="9.5703125" customWidth="1"/>
    <col min="11" max="11" width="14.7109375" customWidth="1"/>
    <col min="13" max="13" width="8.7109375" customWidth="1"/>
  </cols>
  <sheetData>
    <row r="7" spans="1:15">
      <c r="A7" s="45" t="s">
        <v>270</v>
      </c>
      <c r="B7" s="45"/>
      <c r="C7" s="45"/>
      <c r="D7" s="45"/>
      <c r="E7" s="45"/>
      <c r="F7" s="45"/>
      <c r="G7" s="45"/>
    </row>
    <row r="8" spans="1:15" ht="36.75" customHeight="1">
      <c r="A8" s="35" t="s">
        <v>197</v>
      </c>
      <c r="B8" s="12" t="s">
        <v>203</v>
      </c>
      <c r="C8" s="12" t="s">
        <v>268</v>
      </c>
      <c r="D8" s="13" t="s">
        <v>272</v>
      </c>
      <c r="E8" s="35" t="s">
        <v>274</v>
      </c>
      <c r="F8" s="13" t="s">
        <v>273</v>
      </c>
      <c r="G8" s="13" t="s">
        <v>198</v>
      </c>
      <c r="I8" s="3" t="s">
        <v>271</v>
      </c>
      <c r="K8" s="3"/>
      <c r="L8" s="46" t="s">
        <v>286</v>
      </c>
      <c r="M8" s="47"/>
      <c r="N8" s="47"/>
      <c r="O8" s="48"/>
    </row>
    <row r="9" spans="1:15">
      <c r="A9" s="17" t="s">
        <v>205</v>
      </c>
      <c r="B9" s="17" t="s">
        <v>106</v>
      </c>
      <c r="C9" s="17" t="s">
        <v>269</v>
      </c>
      <c r="D9" s="8" t="s">
        <v>267</v>
      </c>
      <c r="E9" s="8">
        <v>100</v>
      </c>
      <c r="F9" s="8">
        <v>100</v>
      </c>
      <c r="G9" s="17" t="s">
        <v>276</v>
      </c>
      <c r="I9" s="8" t="s">
        <v>267</v>
      </c>
      <c r="K9" s="17" t="s">
        <v>272</v>
      </c>
      <c r="L9" s="8" t="str" cm="1">
        <f t="array" ref="L9:O9">TRANSPOSE(I9:I12)</f>
        <v>3v3</v>
      </c>
      <c r="M9" s="8" t="str">
        <v>5v</v>
      </c>
      <c r="N9" s="8">
        <v>0</v>
      </c>
      <c r="O9" s="8">
        <v>0</v>
      </c>
    </row>
    <row r="10" spans="1:15">
      <c r="A10" s="17" t="s">
        <v>205</v>
      </c>
      <c r="B10" s="17" t="s">
        <v>238</v>
      </c>
      <c r="C10" s="17" t="s">
        <v>275</v>
      </c>
      <c r="D10" s="8" t="s">
        <v>267</v>
      </c>
      <c r="E10" s="8">
        <v>0.4</v>
      </c>
      <c r="F10" s="8">
        <v>0.4</v>
      </c>
      <c r="G10" s="17" t="s">
        <v>278</v>
      </c>
      <c r="I10" s="8" t="s">
        <v>301</v>
      </c>
      <c r="K10" s="36" t="s">
        <v>302</v>
      </c>
      <c r="L10" s="38">
        <f>L11 * 3.3 / 1000</f>
        <v>0.87322949999999999</v>
      </c>
      <c r="M10" s="38">
        <f>M11 * 5 / 1000</f>
        <v>1.6151312217194571</v>
      </c>
      <c r="N10" s="38">
        <f t="shared" ref="N10:O10" si="0">SUM(N12:N39)</f>
        <v>0</v>
      </c>
      <c r="O10" s="38">
        <f t="shared" si="0"/>
        <v>0</v>
      </c>
    </row>
    <row r="11" spans="1:15">
      <c r="A11" s="17" t="s">
        <v>205</v>
      </c>
      <c r="B11" s="17" t="s">
        <v>238</v>
      </c>
      <c r="C11" s="17" t="s">
        <v>275</v>
      </c>
      <c r="D11" s="8" t="s">
        <v>301</v>
      </c>
      <c r="E11" s="8">
        <v>140</v>
      </c>
      <c r="F11" s="8">
        <v>70</v>
      </c>
      <c r="G11" s="17" t="s">
        <v>279</v>
      </c>
      <c r="I11" s="8"/>
      <c r="K11" s="49" t="s">
        <v>285</v>
      </c>
      <c r="L11" s="43">
        <f>SUM(L13:L40)</f>
        <v>264.61500000000001</v>
      </c>
      <c r="M11" s="43">
        <f>SUM(M13:M40)</f>
        <v>323.02624434389139</v>
      </c>
      <c r="N11" s="43">
        <f t="shared" ref="N11:O11" si="1">SUM(N13:N40)</f>
        <v>0</v>
      </c>
      <c r="O11" s="43">
        <f t="shared" si="1"/>
        <v>0</v>
      </c>
    </row>
    <row r="12" spans="1:15">
      <c r="A12" s="17" t="s">
        <v>205</v>
      </c>
      <c r="B12" s="17" t="s">
        <v>277</v>
      </c>
      <c r="C12" s="17" t="s">
        <v>275</v>
      </c>
      <c r="D12" s="8" t="s">
        <v>267</v>
      </c>
      <c r="E12" s="8">
        <v>0.4</v>
      </c>
      <c r="F12" s="8">
        <v>0.4</v>
      </c>
      <c r="G12" s="17" t="s">
        <v>278</v>
      </c>
      <c r="I12" s="8"/>
      <c r="K12" s="50"/>
      <c r="L12" s="44"/>
      <c r="M12" s="44"/>
      <c r="N12" s="44"/>
      <c r="O12" s="44"/>
    </row>
    <row r="13" spans="1:15">
      <c r="A13" s="17" t="s">
        <v>205</v>
      </c>
      <c r="B13" s="17" t="s">
        <v>277</v>
      </c>
      <c r="C13" s="17" t="s">
        <v>275</v>
      </c>
      <c r="D13" s="8" t="s">
        <v>301</v>
      </c>
      <c r="E13" s="8">
        <v>140</v>
      </c>
      <c r="F13" s="8">
        <v>70</v>
      </c>
      <c r="G13" s="17" t="s">
        <v>279</v>
      </c>
      <c r="K13" s="8" t="str" cm="1">
        <f t="array" ref="K13:K41">'1.1'!E2:E30</f>
        <v>0. root</v>
      </c>
      <c r="L13" s="37">
        <f t="shared" ref="L13:O41" si="2">SUMIFS($E$9:$E$1015, $A$9:$A$1015, $K13, $D$9:$D$1015, L$9)</f>
        <v>100.81500000000001</v>
      </c>
      <c r="M13" s="37">
        <f t="shared" si="2"/>
        <v>280</v>
      </c>
      <c r="N13" s="37">
        <f t="shared" si="2"/>
        <v>0</v>
      </c>
      <c r="O13" s="37">
        <f t="shared" si="2"/>
        <v>0</v>
      </c>
    </row>
    <row r="14" spans="1:15">
      <c r="A14" s="17" t="s">
        <v>205</v>
      </c>
      <c r="B14" s="17" t="s">
        <v>280</v>
      </c>
      <c r="C14" s="17" t="s">
        <v>281</v>
      </c>
      <c r="D14" s="8" t="s">
        <v>267</v>
      </c>
      <c r="E14" s="8">
        <v>1.4999999999999999E-2</v>
      </c>
      <c r="F14" s="8">
        <v>1.2E-2</v>
      </c>
      <c r="G14" s="17" t="s">
        <v>282</v>
      </c>
      <c r="K14" s="8" t="str">
        <v>1. GLV PSU</v>
      </c>
      <c r="L14" s="37">
        <f t="shared" si="2"/>
        <v>1</v>
      </c>
      <c r="M14" s="37">
        <f t="shared" si="2"/>
        <v>1</v>
      </c>
      <c r="N14" s="37">
        <f t="shared" si="2"/>
        <v>0</v>
      </c>
      <c r="O14" s="37">
        <f t="shared" si="2"/>
        <v>0</v>
      </c>
    </row>
    <row r="15" spans="1:15">
      <c r="A15" s="17" t="s">
        <v>206</v>
      </c>
      <c r="B15" s="17" t="s">
        <v>283</v>
      </c>
      <c r="C15" s="17" t="s">
        <v>284</v>
      </c>
      <c r="D15" s="8" t="s">
        <v>267</v>
      </c>
      <c r="E15" s="8">
        <v>1</v>
      </c>
      <c r="F15" s="8">
        <v>1</v>
      </c>
      <c r="G15" s="17"/>
      <c r="K15" s="8" t="str">
        <v>2. Eth</v>
      </c>
      <c r="L15" s="37">
        <f t="shared" si="2"/>
        <v>142</v>
      </c>
      <c r="M15" s="37">
        <f t="shared" si="2"/>
        <v>10</v>
      </c>
      <c r="N15" s="37">
        <f t="shared" si="2"/>
        <v>0</v>
      </c>
      <c r="O15" s="37">
        <f t="shared" si="2"/>
        <v>0</v>
      </c>
    </row>
    <row r="16" spans="1:15">
      <c r="A16" s="17" t="s">
        <v>206</v>
      </c>
      <c r="B16" s="17" t="s">
        <v>283</v>
      </c>
      <c r="C16" s="17" t="s">
        <v>284</v>
      </c>
      <c r="D16" s="8" t="s">
        <v>301</v>
      </c>
      <c r="E16" s="8">
        <v>1</v>
      </c>
      <c r="F16" s="8">
        <v>1</v>
      </c>
      <c r="G16" s="17"/>
      <c r="K16" s="8" t="str">
        <v>3. MCHS</v>
      </c>
      <c r="L16" s="37">
        <f t="shared" si="2"/>
        <v>0.8</v>
      </c>
      <c r="M16" s="37">
        <f t="shared" si="2"/>
        <v>32.026244343891399</v>
      </c>
      <c r="N16" s="37">
        <f t="shared" si="2"/>
        <v>0</v>
      </c>
      <c r="O16" s="37">
        <f t="shared" si="2"/>
        <v>0</v>
      </c>
    </row>
    <row r="17" spans="1:15">
      <c r="A17" s="17" t="s">
        <v>207</v>
      </c>
      <c r="B17" s="17" t="s">
        <v>287</v>
      </c>
      <c r="C17" s="17" t="s">
        <v>288</v>
      </c>
      <c r="D17" s="8" t="s">
        <v>267</v>
      </c>
      <c r="E17" s="8">
        <v>10</v>
      </c>
      <c r="F17" s="8">
        <v>0</v>
      </c>
      <c r="G17" s="17"/>
      <c r="K17" s="8" t="str">
        <v>4. HRLV intf</v>
      </c>
      <c r="L17" s="37">
        <f t="shared" si="2"/>
        <v>20</v>
      </c>
      <c r="M17" s="37">
        <f t="shared" si="2"/>
        <v>0</v>
      </c>
      <c r="N17" s="37">
        <f t="shared" si="2"/>
        <v>0</v>
      </c>
      <c r="O17" s="37">
        <f t="shared" si="2"/>
        <v>0</v>
      </c>
    </row>
    <row r="18" spans="1:15">
      <c r="A18" s="17" t="s">
        <v>207</v>
      </c>
      <c r="B18" s="17" t="s">
        <v>287</v>
      </c>
      <c r="C18" s="17" t="s">
        <v>288</v>
      </c>
      <c r="D18" s="8" t="s">
        <v>301</v>
      </c>
      <c r="E18" s="8">
        <v>10</v>
      </c>
      <c r="F18" s="8">
        <v>0</v>
      </c>
      <c r="G18" s="17"/>
      <c r="K18" s="8" t="str">
        <v>5. AFF</v>
      </c>
      <c r="L18" s="37">
        <f t="shared" si="2"/>
        <v>0</v>
      </c>
      <c r="M18" s="37">
        <f t="shared" si="2"/>
        <v>0</v>
      </c>
      <c r="N18" s="37">
        <f t="shared" si="2"/>
        <v>0</v>
      </c>
      <c r="O18" s="37">
        <f t="shared" si="2"/>
        <v>0</v>
      </c>
    </row>
    <row r="19" spans="1:15">
      <c r="A19" s="17" t="s">
        <v>207</v>
      </c>
      <c r="B19" s="17" t="s">
        <v>289</v>
      </c>
      <c r="C19" s="17" t="s">
        <v>214</v>
      </c>
      <c r="D19" s="8" t="s">
        <v>267</v>
      </c>
      <c r="E19" s="8">
        <v>132</v>
      </c>
      <c r="F19" s="8">
        <v>15</v>
      </c>
      <c r="G19" s="17"/>
      <c r="K19" s="8" t="str">
        <v>6. PWM sb1</v>
      </c>
      <c r="L19" s="37">
        <f t="shared" si="2"/>
        <v>0</v>
      </c>
      <c r="M19" s="37">
        <f t="shared" si="2"/>
        <v>0</v>
      </c>
      <c r="N19" s="37">
        <f t="shared" si="2"/>
        <v>0</v>
      </c>
      <c r="O19" s="37">
        <f t="shared" si="2"/>
        <v>0</v>
      </c>
    </row>
    <row r="20" spans="1:15">
      <c r="A20" s="17" t="s">
        <v>208</v>
      </c>
      <c r="B20" s="17" t="s">
        <v>215</v>
      </c>
      <c r="C20" s="17" t="s">
        <v>291</v>
      </c>
      <c r="D20" s="8" t="s">
        <v>301</v>
      </c>
      <c r="E20" s="8">
        <v>0</v>
      </c>
      <c r="F20" s="8">
        <v>7.4999999999999997E-2</v>
      </c>
      <c r="G20" s="17" t="s">
        <v>292</v>
      </c>
      <c r="K20" s="8">
        <v>0</v>
      </c>
      <c r="L20" s="37">
        <f t="shared" si="2"/>
        <v>0</v>
      </c>
      <c r="M20" s="37">
        <f t="shared" si="2"/>
        <v>0</v>
      </c>
      <c r="N20" s="37">
        <f t="shared" si="2"/>
        <v>0</v>
      </c>
      <c r="O20" s="37">
        <f t="shared" si="2"/>
        <v>0</v>
      </c>
    </row>
    <row r="21" spans="1:15">
      <c r="A21" s="17" t="s">
        <v>208</v>
      </c>
      <c r="B21" s="17" t="s">
        <v>215</v>
      </c>
      <c r="C21" s="17" t="s">
        <v>290</v>
      </c>
      <c r="D21" s="8" t="s">
        <v>301</v>
      </c>
      <c r="E21" s="8">
        <v>30</v>
      </c>
      <c r="F21" s="8">
        <v>2.05E-4</v>
      </c>
      <c r="G21" s="17" t="s">
        <v>292</v>
      </c>
      <c r="K21" s="8">
        <v>0</v>
      </c>
      <c r="L21" s="37">
        <f t="shared" si="2"/>
        <v>0</v>
      </c>
      <c r="M21" s="37">
        <f t="shared" si="2"/>
        <v>0</v>
      </c>
      <c r="N21" s="37">
        <f t="shared" si="2"/>
        <v>0</v>
      </c>
      <c r="O21" s="37">
        <f t="shared" si="2"/>
        <v>0</v>
      </c>
    </row>
    <row r="22" spans="1:15">
      <c r="A22" s="17" t="s">
        <v>208</v>
      </c>
      <c r="B22" s="17" t="s">
        <v>215</v>
      </c>
      <c r="C22" s="17" t="s">
        <v>293</v>
      </c>
      <c r="D22" s="8" t="s">
        <v>301</v>
      </c>
      <c r="E22" s="8">
        <v>0.9</v>
      </c>
      <c r="F22" s="8">
        <v>1.5E-3</v>
      </c>
      <c r="G22" s="17" t="s">
        <v>296</v>
      </c>
      <c r="K22" s="8">
        <v>0</v>
      </c>
      <c r="L22" s="37">
        <f t="shared" si="2"/>
        <v>0</v>
      </c>
      <c r="M22" s="37">
        <f t="shared" si="2"/>
        <v>0</v>
      </c>
      <c r="N22" s="37">
        <f t="shared" si="2"/>
        <v>0</v>
      </c>
      <c r="O22" s="37">
        <f t="shared" si="2"/>
        <v>0</v>
      </c>
    </row>
    <row r="23" spans="1:15">
      <c r="A23" s="17" t="s">
        <v>208</v>
      </c>
      <c r="B23" s="17" t="s">
        <v>215</v>
      </c>
      <c r="C23" s="17" t="s">
        <v>294</v>
      </c>
      <c r="D23" s="8" t="s">
        <v>301</v>
      </c>
      <c r="E23" s="8">
        <v>0.9</v>
      </c>
      <c r="F23" s="8">
        <v>1.5E-3</v>
      </c>
      <c r="G23" s="17" t="s">
        <v>296</v>
      </c>
      <c r="K23" s="8">
        <v>0</v>
      </c>
      <c r="L23" s="37">
        <f t="shared" si="2"/>
        <v>0</v>
      </c>
      <c r="M23" s="37">
        <f t="shared" si="2"/>
        <v>0</v>
      </c>
      <c r="N23" s="37">
        <f t="shared" si="2"/>
        <v>0</v>
      </c>
      <c r="O23" s="37">
        <f t="shared" si="2"/>
        <v>0</v>
      </c>
    </row>
    <row r="24" spans="1:15">
      <c r="A24" s="17" t="s">
        <v>208</v>
      </c>
      <c r="B24" s="17" t="s">
        <v>215</v>
      </c>
      <c r="C24" s="17" t="s">
        <v>293</v>
      </c>
      <c r="D24" s="8" t="s">
        <v>267</v>
      </c>
      <c r="E24" s="8">
        <v>0.4</v>
      </c>
      <c r="F24" s="8">
        <v>1.2E-4</v>
      </c>
      <c r="G24" s="17" t="s">
        <v>295</v>
      </c>
      <c r="K24" s="8">
        <v>0</v>
      </c>
      <c r="L24" s="37">
        <f t="shared" si="2"/>
        <v>0</v>
      </c>
      <c r="M24" s="37">
        <f t="shared" si="2"/>
        <v>0</v>
      </c>
      <c r="N24" s="37">
        <f t="shared" si="2"/>
        <v>0</v>
      </c>
      <c r="O24" s="37">
        <f t="shared" si="2"/>
        <v>0</v>
      </c>
    </row>
    <row r="25" spans="1:15">
      <c r="A25" s="17" t="s">
        <v>208</v>
      </c>
      <c r="B25" s="17" t="s">
        <v>215</v>
      </c>
      <c r="C25" s="17" t="s">
        <v>294</v>
      </c>
      <c r="D25" s="8" t="s">
        <v>267</v>
      </c>
      <c r="E25" s="8">
        <v>0.4</v>
      </c>
      <c r="F25" s="8">
        <v>1.2E-4</v>
      </c>
      <c r="G25" s="17" t="s">
        <v>295</v>
      </c>
      <c r="K25" s="8">
        <v>0</v>
      </c>
      <c r="L25" s="37">
        <f t="shared" si="2"/>
        <v>0</v>
      </c>
      <c r="M25" s="37">
        <f t="shared" si="2"/>
        <v>0</v>
      </c>
      <c r="N25" s="37">
        <f t="shared" si="2"/>
        <v>0</v>
      </c>
      <c r="O25" s="37">
        <f t="shared" si="2"/>
        <v>0</v>
      </c>
    </row>
    <row r="26" spans="1:15">
      <c r="A26" s="17" t="s">
        <v>208</v>
      </c>
      <c r="B26" s="17" t="s">
        <v>255</v>
      </c>
      <c r="C26" s="17" t="s">
        <v>297</v>
      </c>
      <c r="D26" s="8" t="s">
        <v>301</v>
      </c>
      <c r="E26" s="8">
        <f>5000/22100</f>
        <v>0.22624434389140272</v>
      </c>
      <c r="F26" s="8">
        <f>Table1[[#This Row],[load max (mA)]]</f>
        <v>0.22624434389140272</v>
      </c>
      <c r="G26" s="17"/>
      <c r="K26" s="8">
        <v>0</v>
      </c>
      <c r="L26" s="37">
        <f t="shared" si="2"/>
        <v>0</v>
      </c>
      <c r="M26" s="37">
        <f t="shared" si="2"/>
        <v>0</v>
      </c>
      <c r="N26" s="37">
        <f t="shared" si="2"/>
        <v>0</v>
      </c>
      <c r="O26" s="37">
        <f t="shared" si="2"/>
        <v>0</v>
      </c>
    </row>
    <row r="27" spans="1:15">
      <c r="A27" s="17" t="s">
        <v>262</v>
      </c>
      <c r="B27" s="17" t="s">
        <v>238</v>
      </c>
      <c r="C27" s="17" t="s">
        <v>299</v>
      </c>
      <c r="D27" s="8" t="s">
        <v>267</v>
      </c>
      <c r="E27" s="8">
        <v>20</v>
      </c>
      <c r="F27" s="8">
        <v>2</v>
      </c>
      <c r="G27" s="17" t="s">
        <v>300</v>
      </c>
      <c r="K27" s="8">
        <v>0</v>
      </c>
      <c r="L27" s="37">
        <f t="shared" si="2"/>
        <v>0</v>
      </c>
      <c r="M27" s="37">
        <f t="shared" si="2"/>
        <v>0</v>
      </c>
      <c r="N27" s="37">
        <f t="shared" si="2"/>
        <v>0</v>
      </c>
      <c r="O27" s="37">
        <f t="shared" si="2"/>
        <v>0</v>
      </c>
    </row>
    <row r="28" spans="1:15">
      <c r="A28" s="17"/>
      <c r="B28" s="17"/>
      <c r="C28" s="17"/>
      <c r="D28" s="8"/>
      <c r="E28" s="8"/>
      <c r="F28" s="8"/>
      <c r="G28" s="17"/>
      <c r="K28" s="8">
        <v>0</v>
      </c>
      <c r="L28" s="37">
        <f t="shared" si="2"/>
        <v>0</v>
      </c>
      <c r="M28" s="37">
        <f t="shared" si="2"/>
        <v>0</v>
      </c>
      <c r="N28" s="37">
        <f t="shared" si="2"/>
        <v>0</v>
      </c>
      <c r="O28" s="37">
        <f t="shared" si="2"/>
        <v>0</v>
      </c>
    </row>
    <row r="29" spans="1:15">
      <c r="A29" s="17"/>
      <c r="B29" s="17"/>
      <c r="C29" s="17"/>
      <c r="D29" s="8"/>
      <c r="E29" s="8"/>
      <c r="F29" s="8"/>
      <c r="G29" s="17"/>
      <c r="K29" s="8">
        <v>0</v>
      </c>
      <c r="L29" s="37">
        <f t="shared" si="2"/>
        <v>0</v>
      </c>
      <c r="M29" s="37">
        <f t="shared" si="2"/>
        <v>0</v>
      </c>
      <c r="N29" s="37">
        <f t="shared" si="2"/>
        <v>0</v>
      </c>
      <c r="O29" s="37">
        <f t="shared" si="2"/>
        <v>0</v>
      </c>
    </row>
    <row r="30" spans="1:15">
      <c r="A30" s="17"/>
      <c r="B30" s="17"/>
      <c r="C30" s="17"/>
      <c r="D30" s="8"/>
      <c r="E30" s="8"/>
      <c r="F30" s="8"/>
      <c r="G30" s="17"/>
      <c r="K30" s="8">
        <v>0</v>
      </c>
      <c r="L30" s="37">
        <f t="shared" si="2"/>
        <v>0</v>
      </c>
      <c r="M30" s="37">
        <f t="shared" si="2"/>
        <v>0</v>
      </c>
      <c r="N30" s="37">
        <f t="shared" si="2"/>
        <v>0</v>
      </c>
      <c r="O30" s="37">
        <f t="shared" si="2"/>
        <v>0</v>
      </c>
    </row>
    <row r="31" spans="1:15">
      <c r="A31" s="17"/>
      <c r="B31" s="17"/>
      <c r="C31" s="17"/>
      <c r="D31" s="8"/>
      <c r="E31" s="8"/>
      <c r="F31" s="8"/>
      <c r="G31" s="17"/>
      <c r="K31" s="8">
        <v>0</v>
      </c>
      <c r="L31" s="37">
        <f t="shared" si="2"/>
        <v>0</v>
      </c>
      <c r="M31" s="37">
        <f t="shared" si="2"/>
        <v>0</v>
      </c>
      <c r="N31" s="37">
        <f t="shared" si="2"/>
        <v>0</v>
      </c>
      <c r="O31" s="37">
        <f t="shared" si="2"/>
        <v>0</v>
      </c>
    </row>
    <row r="32" spans="1:15">
      <c r="A32" s="17"/>
      <c r="B32" s="17"/>
      <c r="C32" s="17"/>
      <c r="D32" s="8"/>
      <c r="E32" s="8"/>
      <c r="F32" s="8"/>
      <c r="G32" s="17"/>
      <c r="K32" s="8">
        <v>0</v>
      </c>
      <c r="L32" s="37">
        <f t="shared" si="2"/>
        <v>0</v>
      </c>
      <c r="M32" s="37">
        <f t="shared" si="2"/>
        <v>0</v>
      </c>
      <c r="N32" s="37">
        <f t="shared" si="2"/>
        <v>0</v>
      </c>
      <c r="O32" s="37">
        <f t="shared" si="2"/>
        <v>0</v>
      </c>
    </row>
    <row r="33" spans="1:15">
      <c r="A33" s="17"/>
      <c r="B33" s="17"/>
      <c r="C33" s="17"/>
      <c r="D33" s="8"/>
      <c r="E33" s="8"/>
      <c r="F33" s="8"/>
      <c r="G33" s="17"/>
      <c r="K33" s="8">
        <v>0</v>
      </c>
      <c r="L33" s="37">
        <f t="shared" si="2"/>
        <v>0</v>
      </c>
      <c r="M33" s="37">
        <f t="shared" si="2"/>
        <v>0</v>
      </c>
      <c r="N33" s="37">
        <f t="shared" si="2"/>
        <v>0</v>
      </c>
      <c r="O33" s="37">
        <f t="shared" si="2"/>
        <v>0</v>
      </c>
    </row>
    <row r="34" spans="1:15">
      <c r="A34" s="17"/>
      <c r="B34" s="17"/>
      <c r="C34" s="17"/>
      <c r="D34" s="8"/>
      <c r="E34" s="8"/>
      <c r="F34" s="8"/>
      <c r="G34" s="17"/>
      <c r="K34" s="8">
        <v>0</v>
      </c>
      <c r="L34" s="37">
        <f t="shared" si="2"/>
        <v>0</v>
      </c>
      <c r="M34" s="37">
        <f t="shared" si="2"/>
        <v>0</v>
      </c>
      <c r="N34" s="37">
        <f t="shared" si="2"/>
        <v>0</v>
      </c>
      <c r="O34" s="37">
        <f t="shared" si="2"/>
        <v>0</v>
      </c>
    </row>
    <row r="35" spans="1:15">
      <c r="A35" s="17"/>
      <c r="B35" s="17"/>
      <c r="C35" s="17"/>
      <c r="D35" s="8"/>
      <c r="E35" s="8"/>
      <c r="F35" s="8"/>
      <c r="G35" s="17"/>
      <c r="K35" s="8">
        <v>0</v>
      </c>
      <c r="L35" s="37">
        <f t="shared" si="2"/>
        <v>0</v>
      </c>
      <c r="M35" s="37">
        <f t="shared" si="2"/>
        <v>0</v>
      </c>
      <c r="N35" s="37">
        <f t="shared" si="2"/>
        <v>0</v>
      </c>
      <c r="O35" s="37">
        <f t="shared" si="2"/>
        <v>0</v>
      </c>
    </row>
    <row r="36" spans="1:15">
      <c r="A36" s="17"/>
      <c r="B36" s="17"/>
      <c r="C36" s="17"/>
      <c r="D36" s="8"/>
      <c r="E36" s="8"/>
      <c r="F36" s="8"/>
      <c r="G36" s="17"/>
      <c r="K36" s="8">
        <v>0</v>
      </c>
      <c r="L36" s="37">
        <f t="shared" si="2"/>
        <v>0</v>
      </c>
      <c r="M36" s="37">
        <f t="shared" si="2"/>
        <v>0</v>
      </c>
      <c r="N36" s="37">
        <f t="shared" si="2"/>
        <v>0</v>
      </c>
      <c r="O36" s="37">
        <f t="shared" si="2"/>
        <v>0</v>
      </c>
    </row>
    <row r="37" spans="1:15">
      <c r="A37" s="17"/>
      <c r="B37" s="17"/>
      <c r="C37" s="17"/>
      <c r="D37" s="8"/>
      <c r="E37" s="8"/>
      <c r="F37" s="8"/>
      <c r="G37" s="17"/>
      <c r="K37" s="8">
        <v>0</v>
      </c>
      <c r="L37" s="37">
        <f t="shared" si="2"/>
        <v>0</v>
      </c>
      <c r="M37" s="37">
        <f t="shared" si="2"/>
        <v>0</v>
      </c>
      <c r="N37" s="37">
        <f t="shared" si="2"/>
        <v>0</v>
      </c>
      <c r="O37" s="37">
        <f t="shared" si="2"/>
        <v>0</v>
      </c>
    </row>
    <row r="38" spans="1:15">
      <c r="K38" s="8">
        <v>0</v>
      </c>
      <c r="L38" s="37">
        <f t="shared" si="2"/>
        <v>0</v>
      </c>
      <c r="M38" s="37">
        <f t="shared" si="2"/>
        <v>0</v>
      </c>
      <c r="N38" s="37">
        <f t="shared" si="2"/>
        <v>0</v>
      </c>
      <c r="O38" s="37">
        <f t="shared" si="2"/>
        <v>0</v>
      </c>
    </row>
    <row r="39" spans="1:15">
      <c r="K39" s="8">
        <v>0</v>
      </c>
      <c r="L39" s="37">
        <f t="shared" si="2"/>
        <v>0</v>
      </c>
      <c r="M39" s="37">
        <f t="shared" si="2"/>
        <v>0</v>
      </c>
      <c r="N39" s="37">
        <f t="shared" si="2"/>
        <v>0</v>
      </c>
      <c r="O39" s="37">
        <f t="shared" si="2"/>
        <v>0</v>
      </c>
    </row>
    <row r="40" spans="1:15">
      <c r="K40" s="8">
        <v>0</v>
      </c>
      <c r="L40" s="37">
        <f t="shared" si="2"/>
        <v>0</v>
      </c>
      <c r="M40" s="37">
        <f t="shared" si="2"/>
        <v>0</v>
      </c>
      <c r="N40" s="37">
        <f t="shared" si="2"/>
        <v>0</v>
      </c>
      <c r="O40" s="37">
        <f t="shared" si="2"/>
        <v>0</v>
      </c>
    </row>
    <row r="41" spans="1:15">
      <c r="K41" s="8">
        <v>0</v>
      </c>
      <c r="L41" s="37">
        <f t="shared" si="2"/>
        <v>0</v>
      </c>
      <c r="M41" s="37">
        <f t="shared" si="2"/>
        <v>0</v>
      </c>
      <c r="N41" s="37">
        <f t="shared" si="2"/>
        <v>0</v>
      </c>
      <c r="O41" s="37">
        <f t="shared" si="2"/>
        <v>0</v>
      </c>
    </row>
  </sheetData>
  <mergeCells count="7">
    <mergeCell ref="M11:M12"/>
    <mergeCell ref="N11:N12"/>
    <mergeCell ref="O11:O12"/>
    <mergeCell ref="A7:G7"/>
    <mergeCell ref="L8:O8"/>
    <mergeCell ref="K11:K12"/>
    <mergeCell ref="L11:L12"/>
  </mergeCells>
  <phoneticPr fontId="5" type="noConversion"/>
  <dataValidations count="2">
    <dataValidation type="list" allowBlank="1" showInputMessage="1" showErrorMessage="1" sqref="A38:B1048576 A8" xr:uid="{BFA120B5-3371-45B8-85D7-4B1D8EF2B096}">
      <formula1>$J:$J</formula1>
    </dataValidation>
    <dataValidation type="list" allowBlank="1" showInputMessage="1" showErrorMessage="1" sqref="D9:D37" xr:uid="{938AF699-FAA5-4BD8-89A3-A28B12BEF829}">
      <formula1>$I$9:$I$12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458AD1-CB65-4463-85DE-D4634846DDE1}">
          <x14:formula1>
            <xm:f>'1.1'!$E$2:$E$30</xm:f>
          </x14:formula1>
          <xm:sqref>A9:A37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E66A-5941-4854-8E8F-0C87288305BB}">
  <sheetPr codeName="Sheet4"/>
  <dimension ref="A1:O70"/>
  <sheetViews>
    <sheetView tabSelected="1" topLeftCell="H24" workbookViewId="0">
      <selection activeCell="L42" sqref="L42"/>
    </sheetView>
  </sheetViews>
  <sheetFormatPr defaultRowHeight="15"/>
  <cols>
    <col min="1" max="1" width="23" customWidth="1"/>
    <col min="2" max="3" width="18.85546875" customWidth="1"/>
    <col min="4" max="5" width="9.5703125" customWidth="1"/>
    <col min="6" max="6" width="21.140625" customWidth="1"/>
    <col min="7" max="7" width="15.28515625" customWidth="1"/>
    <col min="8" max="8" width="20.7109375" customWidth="1"/>
    <col min="12" max="12" width="20.7109375" customWidth="1"/>
    <col min="13" max="13" width="11.28515625" customWidth="1"/>
    <col min="14" max="14" width="16.7109375" customWidth="1"/>
    <col min="15" max="15" width="27.42578125" customWidth="1"/>
  </cols>
  <sheetData>
    <row r="1" spans="1:15">
      <c r="A1" s="51" t="s">
        <v>225</v>
      </c>
      <c r="B1" s="51"/>
      <c r="C1" s="51"/>
      <c r="D1" s="51"/>
      <c r="E1" s="51"/>
      <c r="F1" s="51"/>
      <c r="G1" s="51"/>
      <c r="H1" s="51"/>
      <c r="K1" s="9"/>
      <c r="L1" s="46" t="s">
        <v>227</v>
      </c>
      <c r="M1" s="47"/>
      <c r="N1" s="48"/>
    </row>
    <row r="2" spans="1:15" ht="30">
      <c r="A2" s="21" t="s">
        <v>197</v>
      </c>
      <c r="B2" s="18" t="s">
        <v>203</v>
      </c>
      <c r="C2" s="18" t="s">
        <v>15</v>
      </c>
      <c r="D2" s="18" t="s">
        <v>16</v>
      </c>
      <c r="E2" s="18" t="s">
        <v>204</v>
      </c>
      <c r="F2" s="18" t="s">
        <v>18</v>
      </c>
      <c r="G2" s="18" t="s">
        <v>22</v>
      </c>
      <c r="H2" s="22" t="s">
        <v>23</v>
      </c>
      <c r="J2" s="8" t="s">
        <v>211</v>
      </c>
      <c r="L2" s="8" t="s">
        <v>233</v>
      </c>
      <c r="M2" s="16" t="s">
        <v>70</v>
      </c>
      <c r="N2" s="15" t="s">
        <v>71</v>
      </c>
      <c r="O2" s="25" t="s">
        <v>23</v>
      </c>
    </row>
    <row r="3" spans="1:15">
      <c r="A3" s="19" t="s">
        <v>207</v>
      </c>
      <c r="B3" s="20" t="s">
        <v>38</v>
      </c>
      <c r="C3" s="20" t="s">
        <v>214</v>
      </c>
      <c r="D3" s="11" t="s">
        <v>212</v>
      </c>
      <c r="E3" s="11" t="s">
        <v>219</v>
      </c>
      <c r="F3" s="23" t="s">
        <v>213</v>
      </c>
      <c r="G3" s="10" t="s">
        <v>42</v>
      </c>
      <c r="H3" s="14"/>
      <c r="J3" s="10" t="s">
        <v>42</v>
      </c>
      <c r="K3" s="1"/>
      <c r="L3" s="42" t="str">
        <f>IFERROR(INDEX($B$18:$B$1029, MATCH(M48, $G$18:$G$1029, 0)), "n/a")</f>
        <v>n/a</v>
      </c>
      <c r="M3" s="9" t="s">
        <v>6</v>
      </c>
      <c r="N3" s="14" t="str">
        <f t="shared" ref="N3:N45" si="0">IFERROR(INDEX($H$18:$H$1029, MATCH($M3, $G$18:$G$1029, 0)), "free")</f>
        <v>free</v>
      </c>
      <c r="O3" s="8" t="s">
        <v>228</v>
      </c>
    </row>
    <row r="4" spans="1:15">
      <c r="A4" s="19" t="s">
        <v>208</v>
      </c>
      <c r="B4" s="20" t="s">
        <v>215</v>
      </c>
      <c r="C4" s="20" t="s">
        <v>216</v>
      </c>
      <c r="D4" s="11" t="s">
        <v>218</v>
      </c>
      <c r="E4" s="11" t="s">
        <v>220</v>
      </c>
      <c r="F4" s="23" t="s">
        <v>221</v>
      </c>
      <c r="G4" s="10" t="s">
        <v>32</v>
      </c>
      <c r="H4" s="14"/>
      <c r="J4" s="24" t="s">
        <v>32</v>
      </c>
      <c r="L4" s="42"/>
      <c r="M4" s="9" t="s">
        <v>12</v>
      </c>
      <c r="N4" s="14" t="str">
        <f t="shared" si="0"/>
        <v>free</v>
      </c>
      <c r="O4" s="8" t="s">
        <v>228</v>
      </c>
    </row>
    <row r="5" spans="1:15">
      <c r="A5" s="19" t="s">
        <v>208</v>
      </c>
      <c r="B5" s="20" t="s">
        <v>215</v>
      </c>
      <c r="C5" s="20" t="s">
        <v>217</v>
      </c>
      <c r="D5" s="11" t="s">
        <v>218</v>
      </c>
      <c r="E5" s="11" t="s">
        <v>220</v>
      </c>
      <c r="F5" s="23" t="s">
        <v>221</v>
      </c>
      <c r="G5" s="10" t="s">
        <v>32</v>
      </c>
      <c r="H5" s="14"/>
      <c r="J5" s="24"/>
      <c r="L5" s="42" t="str">
        <f>IFERROR(INDEX($C$18:$C$1029, MATCH(M48, $G$18:$G$1029, 0)), "n/a")</f>
        <v>n/a</v>
      </c>
      <c r="M5" s="9" t="s">
        <v>20</v>
      </c>
      <c r="N5" s="14" t="str">
        <f t="shared" si="0"/>
        <v>custom</v>
      </c>
      <c r="O5" s="8" t="s">
        <v>258</v>
      </c>
    </row>
    <row r="6" spans="1:15">
      <c r="A6" s="19"/>
      <c r="B6" s="20"/>
      <c r="C6" s="20"/>
      <c r="D6" s="11"/>
      <c r="E6" s="11"/>
      <c r="F6" s="23"/>
      <c r="G6" s="10"/>
      <c r="H6" s="14"/>
      <c r="J6" s="24"/>
      <c r="L6" s="42"/>
      <c r="M6" s="9" t="s">
        <v>24</v>
      </c>
      <c r="N6" s="14" t="str">
        <f t="shared" si="0"/>
        <v>free</v>
      </c>
      <c r="O6" s="8"/>
    </row>
    <row r="7" spans="1:15">
      <c r="A7" s="19"/>
      <c r="B7" s="20"/>
      <c r="C7" s="20"/>
      <c r="D7" s="11"/>
      <c r="E7" s="11"/>
      <c r="F7" s="23"/>
      <c r="G7" s="10"/>
      <c r="H7" s="14"/>
      <c r="J7" s="25"/>
      <c r="L7" t="s">
        <v>234</v>
      </c>
      <c r="M7" s="9" t="s">
        <v>33</v>
      </c>
      <c r="N7" s="14" t="str">
        <f t="shared" si="0"/>
        <v>free</v>
      </c>
      <c r="O7" s="8"/>
    </row>
    <row r="8" spans="1:15">
      <c r="A8" s="19"/>
      <c r="B8" s="20"/>
      <c r="C8" s="20"/>
      <c r="D8" s="11"/>
      <c r="E8" s="11"/>
      <c r="F8" s="23"/>
      <c r="G8" s="10"/>
      <c r="H8" s="14"/>
      <c r="J8" s="10" t="s">
        <v>313</v>
      </c>
      <c r="M8" s="9" t="s">
        <v>36</v>
      </c>
      <c r="N8" s="14" t="str">
        <f t="shared" si="0"/>
        <v>gpio</v>
      </c>
      <c r="O8" s="8"/>
    </row>
    <row r="9" spans="1:15">
      <c r="A9" s="19"/>
      <c r="B9" s="20"/>
      <c r="C9" s="20"/>
      <c r="D9" s="11"/>
      <c r="E9" s="11"/>
      <c r="F9" s="23"/>
      <c r="G9" s="10"/>
      <c r="H9" s="14"/>
      <c r="J9" s="24"/>
      <c r="M9" s="9" t="s">
        <v>43</v>
      </c>
      <c r="N9" s="14" t="str">
        <f t="shared" si="0"/>
        <v>gpio</v>
      </c>
      <c r="O9" s="8"/>
    </row>
    <row r="10" spans="1:15">
      <c r="A10" s="19"/>
      <c r="B10" s="20"/>
      <c r="C10" s="20"/>
      <c r="D10" s="11"/>
      <c r="E10" s="11"/>
      <c r="F10" s="23"/>
      <c r="G10" s="10"/>
      <c r="H10" s="14"/>
      <c r="J10" s="24"/>
      <c r="M10" s="9" t="s">
        <v>45</v>
      </c>
      <c r="N10" s="14" t="str">
        <f t="shared" si="0"/>
        <v>free</v>
      </c>
      <c r="O10" s="8"/>
    </row>
    <row r="11" spans="1:15">
      <c r="A11" s="19"/>
      <c r="B11" s="20"/>
      <c r="C11" s="20"/>
      <c r="D11" s="11"/>
      <c r="E11" s="11"/>
      <c r="F11" s="23"/>
      <c r="G11" s="10"/>
      <c r="H11" s="14"/>
      <c r="J11" s="25"/>
      <c r="M11" s="9" t="s">
        <v>47</v>
      </c>
      <c r="N11" s="14" t="str">
        <f t="shared" si="0"/>
        <v>free</v>
      </c>
      <c r="O11" s="8"/>
    </row>
    <row r="12" spans="1:15">
      <c r="M12" s="9" t="s">
        <v>49</v>
      </c>
      <c r="N12" s="14" t="str">
        <f t="shared" si="0"/>
        <v>free</v>
      </c>
      <c r="O12" s="8" t="s">
        <v>230</v>
      </c>
    </row>
    <row r="13" spans="1:15">
      <c r="M13" s="9" t="s">
        <v>51</v>
      </c>
      <c r="N13" s="14" t="str">
        <f t="shared" si="0"/>
        <v>free</v>
      </c>
      <c r="O13" s="8" t="s">
        <v>229</v>
      </c>
    </row>
    <row r="14" spans="1:15">
      <c r="M14" s="9" t="s">
        <v>53</v>
      </c>
      <c r="N14" s="14" t="str">
        <f t="shared" si="0"/>
        <v>free</v>
      </c>
      <c r="O14" s="8" t="s">
        <v>229</v>
      </c>
    </row>
    <row r="15" spans="1:15">
      <c r="M15" s="9" t="s">
        <v>55</v>
      </c>
      <c r="N15" s="14" t="str">
        <f t="shared" si="0"/>
        <v>spi0 SCLK</v>
      </c>
      <c r="O15" s="8" t="s">
        <v>230</v>
      </c>
    </row>
    <row r="16" spans="1:15">
      <c r="A16" s="51" t="s">
        <v>222</v>
      </c>
      <c r="B16" s="51"/>
      <c r="C16" s="51"/>
      <c r="D16" s="51"/>
      <c r="E16" s="51"/>
      <c r="F16" s="51"/>
      <c r="G16" s="51"/>
      <c r="H16" s="51"/>
      <c r="K16" t="s">
        <v>307</v>
      </c>
      <c r="M16" s="9" t="s">
        <v>57</v>
      </c>
      <c r="N16" s="14" t="str">
        <f t="shared" si="0"/>
        <v>spi0 MISO/POCI</v>
      </c>
      <c r="O16" s="8" t="s">
        <v>230</v>
      </c>
    </row>
    <row r="17" spans="1:15" ht="15" customHeight="1">
      <c r="A17" s="21" t="s">
        <v>197</v>
      </c>
      <c r="B17" s="18" t="s">
        <v>203</v>
      </c>
      <c r="C17" s="18" t="s">
        <v>115</v>
      </c>
      <c r="D17" s="18" t="s">
        <v>22</v>
      </c>
      <c r="E17" s="18" t="s">
        <v>66</v>
      </c>
      <c r="F17" s="18" t="s">
        <v>226</v>
      </c>
      <c r="G17" s="18" t="s">
        <v>223</v>
      </c>
      <c r="H17" s="22" t="s">
        <v>224</v>
      </c>
      <c r="K17" s="39" t="str" cm="1">
        <f t="array" ref="K17:K19">_xlfn.UNIQUE(_xlfn._xlws.FILTER(G2:G1000, COUNTIF(G2:G1000, G2:G1000) &gt; 1))</f>
        <v>SPI1</v>
      </c>
      <c r="M17" s="9" t="s">
        <v>59</v>
      </c>
      <c r="N17" s="14" t="str">
        <f t="shared" si="0"/>
        <v>spi0 MOSI/PICO</v>
      </c>
      <c r="O17" s="8" t="s">
        <v>230</v>
      </c>
    </row>
    <row r="18" spans="1:15">
      <c r="A18" s="19" t="s">
        <v>207</v>
      </c>
      <c r="B18" s="20" t="s">
        <v>38</v>
      </c>
      <c r="C18" s="20" t="s">
        <v>74</v>
      </c>
      <c r="D18" s="11" t="s">
        <v>42</v>
      </c>
      <c r="E18" s="11" t="s">
        <v>79</v>
      </c>
      <c r="F18" s="23" t="s">
        <v>151</v>
      </c>
      <c r="G18" s="10" t="s">
        <v>62</v>
      </c>
      <c r="H18" s="14" t="s">
        <v>76</v>
      </c>
      <c r="K18" t="str">
        <v>pin</v>
      </c>
      <c r="M18" s="9" t="s">
        <v>62</v>
      </c>
      <c r="N18" s="14" t="str">
        <f t="shared" si="0"/>
        <v>gpio</v>
      </c>
      <c r="O18" s="8"/>
    </row>
    <row r="19" spans="1:15">
      <c r="A19" s="19" t="s">
        <v>205</v>
      </c>
      <c r="B19" s="20" t="s">
        <v>106</v>
      </c>
      <c r="C19" s="20" t="s">
        <v>22</v>
      </c>
      <c r="D19" s="11" t="s">
        <v>42</v>
      </c>
      <c r="E19" s="11" t="s">
        <v>79</v>
      </c>
      <c r="F19" s="23" t="s">
        <v>151</v>
      </c>
      <c r="G19" s="10" t="s">
        <v>55</v>
      </c>
      <c r="H19" s="14" t="s">
        <v>80</v>
      </c>
      <c r="K19" t="str">
        <v>IGNORE</v>
      </c>
      <c r="M19" s="9" t="s">
        <v>68</v>
      </c>
      <c r="N19" s="14" t="str">
        <f t="shared" si="0"/>
        <v>spi1 MISO/POCI</v>
      </c>
      <c r="O19" s="8"/>
    </row>
    <row r="20" spans="1:15">
      <c r="A20" s="19" t="s">
        <v>205</v>
      </c>
      <c r="B20" s="20" t="s">
        <v>106</v>
      </c>
      <c r="C20" s="20" t="s">
        <v>22</v>
      </c>
      <c r="D20" s="11" t="s">
        <v>42</v>
      </c>
      <c r="E20" s="11" t="s">
        <v>83</v>
      </c>
      <c r="F20" s="23" t="s">
        <v>151</v>
      </c>
      <c r="G20" s="10" t="s">
        <v>57</v>
      </c>
      <c r="H20" s="14" t="s">
        <v>84</v>
      </c>
      <c r="M20" s="9" t="s">
        <v>72</v>
      </c>
      <c r="N20" s="14" t="str">
        <f t="shared" si="0"/>
        <v>spi1 SCLK</v>
      </c>
      <c r="O20" s="8"/>
    </row>
    <row r="21" spans="1:15">
      <c r="A21" s="19" t="s">
        <v>205</v>
      </c>
      <c r="B21" s="20" t="s">
        <v>106</v>
      </c>
      <c r="C21" s="20" t="s">
        <v>22</v>
      </c>
      <c r="D21" s="11" t="s">
        <v>42</v>
      </c>
      <c r="E21" s="11" t="s">
        <v>79</v>
      </c>
      <c r="F21" s="23" t="s">
        <v>151</v>
      </c>
      <c r="G21" s="10" t="s">
        <v>59</v>
      </c>
      <c r="H21" s="14" t="s">
        <v>87</v>
      </c>
      <c r="M21" s="9" t="s">
        <v>77</v>
      </c>
      <c r="N21" s="14" t="str">
        <f t="shared" si="0"/>
        <v>spi1 MOSI/PICO</v>
      </c>
      <c r="O21" s="8"/>
    </row>
    <row r="22" spans="1:15">
      <c r="A22" s="19" t="s">
        <v>205</v>
      </c>
      <c r="B22" s="20" t="s">
        <v>106</v>
      </c>
      <c r="C22" s="20" t="s">
        <v>22</v>
      </c>
      <c r="D22" s="11" t="s">
        <v>32</v>
      </c>
      <c r="E22" s="11" t="s">
        <v>79</v>
      </c>
      <c r="F22" s="23" t="s">
        <v>151</v>
      </c>
      <c r="G22" s="10" t="s">
        <v>72</v>
      </c>
      <c r="H22" s="14" t="s">
        <v>89</v>
      </c>
      <c r="M22" s="9" t="s">
        <v>81</v>
      </c>
      <c r="N22" s="14" t="str">
        <f t="shared" si="0"/>
        <v>SWDIO</v>
      </c>
      <c r="O22" s="8" t="s">
        <v>230</v>
      </c>
    </row>
    <row r="23" spans="1:15">
      <c r="A23" s="19" t="s">
        <v>205</v>
      </c>
      <c r="B23" s="20" t="s">
        <v>106</v>
      </c>
      <c r="C23" s="20" t="s">
        <v>22</v>
      </c>
      <c r="D23" s="11" t="s">
        <v>32</v>
      </c>
      <c r="E23" s="11" t="s">
        <v>83</v>
      </c>
      <c r="F23" s="23" t="s">
        <v>151</v>
      </c>
      <c r="G23" s="10" t="s">
        <v>68</v>
      </c>
      <c r="H23" s="14" t="s">
        <v>92</v>
      </c>
      <c r="M23" s="9" t="s">
        <v>85</v>
      </c>
      <c r="N23" s="14" t="str">
        <f t="shared" si="0"/>
        <v>SWCLK</v>
      </c>
      <c r="O23" s="8"/>
    </row>
    <row r="24" spans="1:15">
      <c r="A24" s="19" t="s">
        <v>205</v>
      </c>
      <c r="B24" s="20" t="s">
        <v>106</v>
      </c>
      <c r="C24" s="20" t="s">
        <v>22</v>
      </c>
      <c r="D24" s="11" t="s">
        <v>32</v>
      </c>
      <c r="E24" s="11" t="s">
        <v>79</v>
      </c>
      <c r="F24" s="23" t="s">
        <v>151</v>
      </c>
      <c r="G24" s="10" t="s">
        <v>77</v>
      </c>
      <c r="H24" s="14" t="s">
        <v>95</v>
      </c>
      <c r="M24" s="9" t="s">
        <v>88</v>
      </c>
      <c r="N24" s="14" t="str">
        <f t="shared" si="0"/>
        <v>UART2 TX</v>
      </c>
      <c r="O24" s="8"/>
    </row>
    <row r="25" spans="1:15">
      <c r="A25" s="19" t="s">
        <v>205</v>
      </c>
      <c r="B25" s="20" t="s">
        <v>106</v>
      </c>
      <c r="C25" s="20" t="s">
        <v>266</v>
      </c>
      <c r="D25" s="11" t="s">
        <v>313</v>
      </c>
      <c r="E25" s="11" t="s">
        <v>79</v>
      </c>
      <c r="F25" s="23" t="s">
        <v>151</v>
      </c>
      <c r="G25" s="10" t="s">
        <v>88</v>
      </c>
      <c r="H25" s="14" t="s">
        <v>305</v>
      </c>
      <c r="M25" s="9" t="s">
        <v>90</v>
      </c>
      <c r="N25" s="14" t="str">
        <f t="shared" si="0"/>
        <v>UART2 RX</v>
      </c>
      <c r="O25" s="8"/>
    </row>
    <row r="26" spans="1:15">
      <c r="A26" s="19" t="s">
        <v>205</v>
      </c>
      <c r="B26" s="20" t="s">
        <v>106</v>
      </c>
      <c r="C26" s="20" t="s">
        <v>304</v>
      </c>
      <c r="D26" s="11" t="s">
        <v>313</v>
      </c>
      <c r="E26" s="11" t="s">
        <v>79</v>
      </c>
      <c r="F26" s="23" t="s">
        <v>151</v>
      </c>
      <c r="G26" s="10" t="s">
        <v>90</v>
      </c>
      <c r="H26" s="14" t="s">
        <v>306</v>
      </c>
      <c r="M26" s="9" t="s">
        <v>93</v>
      </c>
      <c r="N26" s="14" t="str">
        <f t="shared" si="0"/>
        <v>gpio</v>
      </c>
      <c r="O26" s="8"/>
    </row>
    <row r="27" spans="1:15">
      <c r="A27" s="19" t="s">
        <v>208</v>
      </c>
      <c r="B27" s="20" t="s">
        <v>215</v>
      </c>
      <c r="C27" s="20" t="s">
        <v>235</v>
      </c>
      <c r="D27" s="11" t="s">
        <v>32</v>
      </c>
      <c r="E27" s="11" t="s">
        <v>79</v>
      </c>
      <c r="F27" s="23" t="s">
        <v>151</v>
      </c>
      <c r="G27" s="10" t="s">
        <v>170</v>
      </c>
      <c r="H27" s="14" t="s">
        <v>76</v>
      </c>
      <c r="M27" s="9" t="s">
        <v>96</v>
      </c>
      <c r="N27" s="14" t="str">
        <f t="shared" si="0"/>
        <v>gpio</v>
      </c>
      <c r="O27" s="8"/>
    </row>
    <row r="28" spans="1:15">
      <c r="A28" s="19" t="s">
        <v>208</v>
      </c>
      <c r="B28" s="20" t="s">
        <v>215</v>
      </c>
      <c r="C28" s="20" t="s">
        <v>236</v>
      </c>
      <c r="D28" s="11" t="s">
        <v>32</v>
      </c>
      <c r="E28" s="11" t="s">
        <v>79</v>
      </c>
      <c r="F28" s="23" t="s">
        <v>151</v>
      </c>
      <c r="G28" s="10" t="s">
        <v>172</v>
      </c>
      <c r="H28" s="14" t="s">
        <v>76</v>
      </c>
      <c r="M28" s="9" t="s">
        <v>101</v>
      </c>
      <c r="N28" s="14" t="str">
        <f t="shared" si="0"/>
        <v>free</v>
      </c>
      <c r="O28" s="8"/>
    </row>
    <row r="29" spans="1:15">
      <c r="A29" s="19" t="s">
        <v>205</v>
      </c>
      <c r="B29" s="20" t="s">
        <v>312</v>
      </c>
      <c r="C29" s="20" t="s">
        <v>314</v>
      </c>
      <c r="D29" s="11" t="s">
        <v>32</v>
      </c>
      <c r="E29" s="11" t="s">
        <v>79</v>
      </c>
      <c r="F29" s="23" t="s">
        <v>151</v>
      </c>
      <c r="G29" s="10" t="s">
        <v>162</v>
      </c>
      <c r="H29" s="14" t="s">
        <v>76</v>
      </c>
      <c r="M29" s="9" t="s">
        <v>104</v>
      </c>
      <c r="N29" s="14" t="str">
        <f t="shared" si="0"/>
        <v>MCAN0 TX</v>
      </c>
      <c r="O29" s="8"/>
    </row>
    <row r="30" spans="1:15">
      <c r="A30" s="19"/>
      <c r="B30" s="20"/>
      <c r="C30" s="20"/>
      <c r="D30" s="11"/>
      <c r="E30" s="11"/>
      <c r="F30" s="23"/>
      <c r="G30" s="10"/>
      <c r="H30" s="14"/>
      <c r="M30" s="9" t="s">
        <v>109</v>
      </c>
      <c r="N30" s="14" t="str">
        <f t="shared" si="0"/>
        <v>MCAN0 RX</v>
      </c>
      <c r="O30" s="8"/>
    </row>
    <row r="31" spans="1:15">
      <c r="A31" s="19"/>
      <c r="B31" s="20"/>
      <c r="C31" s="20"/>
      <c r="D31" s="11"/>
      <c r="E31" s="11"/>
      <c r="F31" s="23"/>
      <c r="G31" s="10"/>
      <c r="H31" s="14"/>
      <c r="M31" s="9" t="s">
        <v>111</v>
      </c>
      <c r="N31" s="14" t="str">
        <f t="shared" si="0"/>
        <v>free</v>
      </c>
      <c r="O31" s="8" t="s">
        <v>229</v>
      </c>
    </row>
    <row r="32" spans="1:15">
      <c r="A32" s="19"/>
      <c r="B32" s="20"/>
      <c r="C32" s="20"/>
      <c r="D32" s="11"/>
      <c r="E32" s="11"/>
      <c r="F32" s="23"/>
      <c r="G32" s="10"/>
      <c r="H32" s="14"/>
      <c r="M32" s="9" t="s">
        <v>116</v>
      </c>
      <c r="N32" s="14" t="str">
        <f t="shared" si="0"/>
        <v>free</v>
      </c>
      <c r="O32" s="8" t="s">
        <v>229</v>
      </c>
    </row>
    <row r="33" spans="1:15">
      <c r="A33" s="19"/>
      <c r="B33" s="20"/>
      <c r="C33" s="20"/>
      <c r="D33" s="11"/>
      <c r="E33" s="11"/>
      <c r="F33" s="23"/>
      <c r="G33" s="10"/>
      <c r="H33" s="14"/>
      <c r="M33" s="9" t="s">
        <v>124</v>
      </c>
      <c r="N33" s="14" t="str">
        <f t="shared" si="0"/>
        <v>free</v>
      </c>
      <c r="O33" s="8"/>
    </row>
    <row r="34" spans="1:15">
      <c r="A34" s="19"/>
      <c r="B34" s="20"/>
      <c r="C34" s="20"/>
      <c r="D34" s="11"/>
      <c r="E34" s="11"/>
      <c r="F34" s="23"/>
      <c r="G34" s="10"/>
      <c r="H34" s="14"/>
      <c r="M34" s="9" t="s">
        <v>129</v>
      </c>
      <c r="N34" s="14" t="str">
        <f t="shared" si="0"/>
        <v>free</v>
      </c>
      <c r="O34" s="8"/>
    </row>
    <row r="35" spans="1:15">
      <c r="A35" s="19"/>
      <c r="B35" s="20"/>
      <c r="C35" s="20"/>
      <c r="D35" s="11"/>
      <c r="E35" s="11"/>
      <c r="F35" s="23"/>
      <c r="G35" s="10"/>
      <c r="H35" s="14"/>
      <c r="M35" s="9" t="s">
        <v>136</v>
      </c>
      <c r="N35" s="14" t="str">
        <f t="shared" si="0"/>
        <v>free</v>
      </c>
      <c r="O35" s="8"/>
    </row>
    <row r="36" spans="1:15">
      <c r="A36" s="19"/>
      <c r="B36" s="20"/>
      <c r="C36" s="20"/>
      <c r="D36" s="11"/>
      <c r="E36" s="11"/>
      <c r="F36" s="23"/>
      <c r="G36" s="10"/>
      <c r="H36" s="14"/>
      <c r="M36" s="9" t="s">
        <v>103</v>
      </c>
      <c r="N36" s="14" t="str">
        <f t="shared" si="0"/>
        <v>gpio</v>
      </c>
      <c r="O36" s="8"/>
    </row>
    <row r="37" spans="1:15">
      <c r="M37" s="9" t="s">
        <v>139</v>
      </c>
      <c r="N37" s="14" t="str">
        <f t="shared" si="0"/>
        <v>gpio</v>
      </c>
      <c r="O37" s="8"/>
    </row>
    <row r="38" spans="1:15">
      <c r="M38" s="9" t="s">
        <v>142</v>
      </c>
      <c r="N38" s="14" t="str">
        <f t="shared" si="0"/>
        <v>free</v>
      </c>
      <c r="O38" s="8"/>
    </row>
    <row r="39" spans="1:15">
      <c r="M39" s="9" t="s">
        <v>155</v>
      </c>
      <c r="N39" s="14" t="str">
        <f t="shared" si="0"/>
        <v>gpio</v>
      </c>
      <c r="O39" s="8"/>
    </row>
    <row r="40" spans="1:15">
      <c r="M40" s="9" t="s">
        <v>160</v>
      </c>
      <c r="N40" s="14" t="str">
        <f t="shared" si="0"/>
        <v>gpio</v>
      </c>
      <c r="O40" s="8"/>
    </row>
    <row r="41" spans="1:15">
      <c r="M41" s="9" t="s">
        <v>162</v>
      </c>
      <c r="N41" s="14" t="str">
        <f t="shared" si="0"/>
        <v>gpio</v>
      </c>
      <c r="O41" s="8"/>
    </row>
    <row r="42" spans="1:15">
      <c r="M42" s="9" t="s">
        <v>167</v>
      </c>
      <c r="N42" s="14" t="str">
        <f t="shared" si="0"/>
        <v>free</v>
      </c>
      <c r="O42" s="8"/>
    </row>
    <row r="43" spans="1:15">
      <c r="M43" s="9" t="s">
        <v>170</v>
      </c>
      <c r="N43" s="14" t="str">
        <f t="shared" si="0"/>
        <v>gpio</v>
      </c>
      <c r="O43" s="8"/>
    </row>
    <row r="44" spans="1:15">
      <c r="M44" s="9" t="s">
        <v>172</v>
      </c>
      <c r="N44" s="14" t="str">
        <f t="shared" si="0"/>
        <v>gpio</v>
      </c>
      <c r="O44" s="8"/>
    </row>
    <row r="45" spans="1:15">
      <c r="M45" s="9" t="s">
        <v>175</v>
      </c>
      <c r="N45" s="14" t="str">
        <f t="shared" si="0"/>
        <v>gpio</v>
      </c>
      <c r="O45" s="8"/>
    </row>
    <row r="46" spans="1:15">
      <c r="M46" s="9" t="s">
        <v>179</v>
      </c>
      <c r="N46" s="14" t="str">
        <f>IFERROR(INDEX($H$18:$H$1029, MATCH($M46, $G$18:$G$1029, 0)), "free")</f>
        <v>gpio</v>
      </c>
      <c r="O46" s="8"/>
    </row>
    <row r="47" spans="1:15">
      <c r="M47" s="9" t="s">
        <v>308</v>
      </c>
      <c r="N47" s="14" t="s">
        <v>261</v>
      </c>
      <c r="O47" s="10" t="s">
        <v>309</v>
      </c>
    </row>
    <row r="48" spans="1:15">
      <c r="M48" s="9" t="s">
        <v>231</v>
      </c>
      <c r="N48" s="14" t="s">
        <v>261</v>
      </c>
      <c r="O48" s="10" t="s">
        <v>232</v>
      </c>
    </row>
    <row r="49" spans="1:8">
      <c r="A49" s="51" t="s">
        <v>237</v>
      </c>
      <c r="B49" s="51"/>
      <c r="C49" s="51"/>
      <c r="D49" s="51"/>
      <c r="E49" s="51"/>
      <c r="F49" s="51"/>
      <c r="G49" s="51"/>
      <c r="H49" s="51"/>
    </row>
    <row r="50" spans="1:8">
      <c r="A50" s="26" t="s">
        <v>197</v>
      </c>
      <c r="B50" s="27" t="s">
        <v>203</v>
      </c>
      <c r="C50" s="27" t="s">
        <v>115</v>
      </c>
      <c r="D50" s="27" t="s">
        <v>66</v>
      </c>
      <c r="E50" s="27" t="s">
        <v>226</v>
      </c>
      <c r="F50" s="27" t="s">
        <v>67</v>
      </c>
      <c r="G50" s="27" t="s">
        <v>223</v>
      </c>
      <c r="H50" s="28" t="s">
        <v>224</v>
      </c>
    </row>
    <row r="51" spans="1:8">
      <c r="A51" s="29" t="s">
        <v>205</v>
      </c>
      <c r="B51" s="30" t="s">
        <v>238</v>
      </c>
      <c r="C51" s="30" t="s">
        <v>239</v>
      </c>
      <c r="D51" s="31" t="s">
        <v>79</v>
      </c>
      <c r="E51" s="31" t="s">
        <v>151</v>
      </c>
      <c r="F51" s="32"/>
      <c r="G51" s="33" t="s">
        <v>104</v>
      </c>
      <c r="H51" s="34" t="s">
        <v>121</v>
      </c>
    </row>
    <row r="52" spans="1:8">
      <c r="A52" s="19" t="s">
        <v>205</v>
      </c>
      <c r="B52" s="20" t="s">
        <v>238</v>
      </c>
      <c r="C52" s="20" t="s">
        <v>240</v>
      </c>
      <c r="D52" s="11" t="s">
        <v>83</v>
      </c>
      <c r="E52" s="11" t="s">
        <v>151</v>
      </c>
      <c r="F52" s="23"/>
      <c r="G52" s="10" t="s">
        <v>109</v>
      </c>
      <c r="H52" s="14" t="s">
        <v>123</v>
      </c>
    </row>
    <row r="53" spans="1:8">
      <c r="A53" s="29" t="s">
        <v>205</v>
      </c>
      <c r="B53" s="30" t="s">
        <v>106</v>
      </c>
      <c r="C53" s="30" t="s">
        <v>242</v>
      </c>
      <c r="D53" s="31" t="s">
        <v>126</v>
      </c>
      <c r="E53" s="31" t="s">
        <v>151</v>
      </c>
      <c r="F53" s="32" t="s">
        <v>241</v>
      </c>
      <c r="G53" s="33" t="s">
        <v>81</v>
      </c>
      <c r="H53" s="34" t="s">
        <v>128</v>
      </c>
    </row>
    <row r="54" spans="1:8">
      <c r="A54" s="19" t="s">
        <v>205</v>
      </c>
      <c r="B54" s="20" t="s">
        <v>106</v>
      </c>
      <c r="C54" s="20" t="s">
        <v>242</v>
      </c>
      <c r="D54" s="11" t="s">
        <v>126</v>
      </c>
      <c r="E54" s="11" t="s">
        <v>151</v>
      </c>
      <c r="F54" s="23" t="s">
        <v>241</v>
      </c>
      <c r="G54" s="10" t="s">
        <v>85</v>
      </c>
      <c r="H54" s="14" t="s">
        <v>130</v>
      </c>
    </row>
    <row r="55" spans="1:8">
      <c r="A55" s="29" t="s">
        <v>205</v>
      </c>
      <c r="B55" s="30" t="s">
        <v>106</v>
      </c>
      <c r="C55" s="30" t="s">
        <v>258</v>
      </c>
      <c r="D55" s="31" t="s">
        <v>259</v>
      </c>
      <c r="E55" s="31" t="s">
        <v>151</v>
      </c>
      <c r="F55" s="32" t="s">
        <v>260</v>
      </c>
      <c r="G55" s="33" t="s">
        <v>20</v>
      </c>
      <c r="H55" s="34" t="s">
        <v>259</v>
      </c>
    </row>
    <row r="56" spans="1:8">
      <c r="A56" s="19" t="s">
        <v>205</v>
      </c>
      <c r="B56" s="20" t="s">
        <v>243</v>
      </c>
      <c r="C56" s="20" t="s">
        <v>133</v>
      </c>
      <c r="D56" s="11" t="s">
        <v>79</v>
      </c>
      <c r="E56" s="11" t="s">
        <v>151</v>
      </c>
      <c r="F56" s="23"/>
      <c r="G56" s="10" t="s">
        <v>96</v>
      </c>
      <c r="H56" s="14" t="s">
        <v>76</v>
      </c>
    </row>
    <row r="57" spans="1:8">
      <c r="A57" s="29" t="s">
        <v>205</v>
      </c>
      <c r="B57" s="30" t="s">
        <v>243</v>
      </c>
      <c r="C57" s="30" t="s">
        <v>135</v>
      </c>
      <c r="D57" s="31" t="s">
        <v>79</v>
      </c>
      <c r="E57" s="31" t="s">
        <v>151</v>
      </c>
      <c r="F57" s="32"/>
      <c r="G57" s="33" t="s">
        <v>43</v>
      </c>
      <c r="H57" s="34" t="s">
        <v>76</v>
      </c>
    </row>
    <row r="58" spans="1:8">
      <c r="A58" s="19" t="s">
        <v>205</v>
      </c>
      <c r="B58" s="20" t="s">
        <v>243</v>
      </c>
      <c r="C58" s="20" t="s">
        <v>244</v>
      </c>
      <c r="D58" s="11" t="s">
        <v>79</v>
      </c>
      <c r="E58" s="11" t="s">
        <v>151</v>
      </c>
      <c r="F58" s="23"/>
      <c r="G58" s="10" t="s">
        <v>36</v>
      </c>
      <c r="H58" s="14" t="s">
        <v>76</v>
      </c>
    </row>
    <row r="59" spans="1:8">
      <c r="A59" s="29" t="s">
        <v>205</v>
      </c>
      <c r="B59" s="30" t="s">
        <v>243</v>
      </c>
      <c r="C59" s="30" t="s">
        <v>245</v>
      </c>
      <c r="D59" s="31" t="s">
        <v>79</v>
      </c>
      <c r="E59" s="31" t="s">
        <v>151</v>
      </c>
      <c r="F59" s="32"/>
      <c r="G59" s="33" t="s">
        <v>93</v>
      </c>
      <c r="H59" s="34" t="s">
        <v>76</v>
      </c>
    </row>
    <row r="60" spans="1:8">
      <c r="A60" s="19" t="s">
        <v>205</v>
      </c>
      <c r="B60" s="20" t="s">
        <v>140</v>
      </c>
      <c r="C60" s="20" t="s">
        <v>246</v>
      </c>
      <c r="D60" s="11" t="s">
        <v>83</v>
      </c>
      <c r="E60" s="11" t="s">
        <v>247</v>
      </c>
      <c r="F60" s="23" t="s">
        <v>311</v>
      </c>
      <c r="G60" s="10" t="s">
        <v>103</v>
      </c>
      <c r="H60" s="14" t="s">
        <v>76</v>
      </c>
    </row>
    <row r="61" spans="1:8">
      <c r="A61" s="29" t="s">
        <v>205</v>
      </c>
      <c r="B61" s="30" t="s">
        <v>140</v>
      </c>
      <c r="C61" s="30" t="s">
        <v>248</v>
      </c>
      <c r="D61" s="31" t="s">
        <v>79</v>
      </c>
      <c r="E61" s="31" t="s">
        <v>151</v>
      </c>
      <c r="F61" s="32"/>
      <c r="G61" s="33" t="s">
        <v>139</v>
      </c>
      <c r="H61" s="34" t="s">
        <v>76</v>
      </c>
    </row>
    <row r="62" spans="1:8">
      <c r="A62" s="19" t="s">
        <v>205</v>
      </c>
      <c r="B62" s="20" t="s">
        <v>249</v>
      </c>
      <c r="C62" s="20" t="s">
        <v>250</v>
      </c>
      <c r="D62" s="11" t="s">
        <v>158</v>
      </c>
      <c r="E62" s="11" t="s">
        <v>151</v>
      </c>
      <c r="F62" s="23" t="s">
        <v>310</v>
      </c>
      <c r="G62" s="10" t="s">
        <v>308</v>
      </c>
      <c r="H62" s="14" t="s">
        <v>158</v>
      </c>
    </row>
    <row r="63" spans="1:8">
      <c r="A63" s="29" t="s">
        <v>207</v>
      </c>
      <c r="B63" s="20" t="s">
        <v>214</v>
      </c>
      <c r="C63" s="30" t="s">
        <v>253</v>
      </c>
      <c r="D63" s="31" t="s">
        <v>79</v>
      </c>
      <c r="E63" s="31" t="s">
        <v>151</v>
      </c>
      <c r="F63" s="32" t="s">
        <v>252</v>
      </c>
      <c r="G63" s="10" t="s">
        <v>155</v>
      </c>
      <c r="H63" s="34" t="s">
        <v>76</v>
      </c>
    </row>
    <row r="64" spans="1:8">
      <c r="A64" s="19" t="s">
        <v>207</v>
      </c>
      <c r="B64" s="20" t="s">
        <v>214</v>
      </c>
      <c r="C64" s="20" t="s">
        <v>254</v>
      </c>
      <c r="D64" s="11" t="s">
        <v>83</v>
      </c>
      <c r="E64" s="11" t="s">
        <v>151</v>
      </c>
      <c r="F64" s="23"/>
      <c r="G64" s="10" t="s">
        <v>160</v>
      </c>
      <c r="H64" s="14" t="s">
        <v>76</v>
      </c>
    </row>
    <row r="65" spans="1:8">
      <c r="A65" s="29" t="s">
        <v>208</v>
      </c>
      <c r="B65" s="30" t="s">
        <v>255</v>
      </c>
      <c r="C65" s="30" t="s">
        <v>257</v>
      </c>
      <c r="D65" s="31" t="s">
        <v>256</v>
      </c>
      <c r="E65" s="31" t="s">
        <v>151</v>
      </c>
      <c r="F65" s="32" t="s">
        <v>310</v>
      </c>
      <c r="G65" s="33" t="s">
        <v>308</v>
      </c>
      <c r="H65" s="34" t="s">
        <v>263</v>
      </c>
    </row>
    <row r="66" spans="1:8">
      <c r="A66" s="19" t="s">
        <v>262</v>
      </c>
      <c r="B66" s="20" t="s">
        <v>251</v>
      </c>
      <c r="C66" s="20" t="s">
        <v>264</v>
      </c>
      <c r="D66" s="11" t="s">
        <v>83</v>
      </c>
      <c r="E66" s="11" t="s">
        <v>298</v>
      </c>
      <c r="F66" s="23"/>
      <c r="G66" s="10" t="s">
        <v>175</v>
      </c>
      <c r="H66" s="14" t="s">
        <v>76</v>
      </c>
    </row>
    <row r="67" spans="1:8">
      <c r="A67" s="29" t="s">
        <v>262</v>
      </c>
      <c r="B67" s="30" t="s">
        <v>251</v>
      </c>
      <c r="C67" s="30" t="s">
        <v>265</v>
      </c>
      <c r="D67" s="31" t="s">
        <v>83</v>
      </c>
      <c r="E67" s="31" t="s">
        <v>298</v>
      </c>
      <c r="F67" s="32"/>
      <c r="G67" s="33" t="s">
        <v>179</v>
      </c>
      <c r="H67" s="34" t="s">
        <v>76</v>
      </c>
    </row>
    <row r="68" spans="1:8">
      <c r="A68" s="19"/>
      <c r="B68" s="20"/>
      <c r="C68" s="20"/>
      <c r="D68" s="11"/>
      <c r="E68" s="11"/>
      <c r="F68" s="23"/>
      <c r="G68" s="10"/>
      <c r="H68" s="14"/>
    </row>
    <row r="69" spans="1:8">
      <c r="A69" s="29"/>
      <c r="B69" s="30"/>
      <c r="C69" s="30"/>
      <c r="D69" s="31"/>
      <c r="E69" s="31"/>
      <c r="F69" s="32"/>
      <c r="G69" s="33"/>
      <c r="H69" s="34"/>
    </row>
    <row r="70" spans="1:8">
      <c r="A70" s="19"/>
      <c r="B70" s="20"/>
      <c r="C70" s="20"/>
      <c r="D70" s="11"/>
      <c r="E70" s="11"/>
      <c r="F70" s="23"/>
      <c r="G70" s="10"/>
      <c r="H70" s="14"/>
    </row>
  </sheetData>
  <mergeCells count="6">
    <mergeCell ref="A49:H49"/>
    <mergeCell ref="A16:H16"/>
    <mergeCell ref="L1:N1"/>
    <mergeCell ref="L3:L4"/>
    <mergeCell ref="L5:L6"/>
    <mergeCell ref="A1:H1"/>
  </mergeCells>
  <phoneticPr fontId="5" type="noConversion"/>
  <conditionalFormatting sqref="L3">
    <cfRule type="cellIs" dxfId="4" priority="4" operator="notEqual">
      <formula>"n/a"</formula>
    </cfRule>
    <cfRule type="cellIs" dxfId="3" priority="5" operator="equal">
      <formula>"n/a"</formula>
    </cfRule>
  </conditionalFormatting>
  <conditionalFormatting sqref="L5">
    <cfRule type="cellIs" dxfId="2" priority="2" operator="notEqual">
      <formula>"n/a"</formula>
    </cfRule>
    <cfRule type="cellIs" dxfId="1" priority="3" operator="equal">
      <formula>"n/a"</formula>
    </cfRule>
  </conditionalFormatting>
  <dataValidations count="3">
    <dataValidation type="list" allowBlank="1" showInputMessage="1" showErrorMessage="1" sqref="G3:G11" xr:uid="{5CDE35F2-F8FD-4958-B08D-795B00C9640C}">
      <formula1>$J$3:$J$7</formula1>
    </dataValidation>
    <dataValidation type="list" allowBlank="1" showInputMessage="1" showErrorMessage="1" sqref="G51:G70 G18:G36" xr:uid="{FD36B83F-1D1A-42D5-9E6E-A39E1A019BCB}">
      <formula1>$M$3:$M$48</formula1>
    </dataValidation>
    <dataValidation type="list" allowBlank="1" showInputMessage="1" showErrorMessage="1" sqref="D18:D36" xr:uid="{B9448B54-17F4-46CD-B0B1-4C49C361E2E1}">
      <formula1>$J$3:$J$11</formula1>
    </dataValidation>
  </dataValidations>
  <pageMargins left="0.7" right="0.7" top="0.75" bottom="0.75" header="0.3" footer="0.3"/>
  <pageSetup orientation="portrait" r:id="rId1"/>
  <legacyDrawing r:id="rId2"/>
  <tableParts count="4"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8BDE097-8D78-485C-BE14-71F1B18155F1}">
            <xm:f>NOT(ISERROR(SEARCH($N$47,N3)))</xm:f>
            <xm:f>$N$47</xm:f>
            <x14:dxf>
              <fill>
                <patternFill>
                  <bgColor rgb="FF92D050"/>
                </patternFill>
              </fill>
            </x14:dxf>
          </x14:cfRule>
          <xm:sqref>N3:N46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292A32-61E4-417C-AAAE-90F252071CB7}">
          <x14:formula1>
            <xm:f>'1.1'!$E$2:$E$30</xm:f>
          </x14:formula1>
          <xm:sqref>A3:A11 A51:A70 A18:A36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1.0 routing</vt:lpstr>
      <vt:lpstr>1.1</vt:lpstr>
      <vt:lpstr>1.1 PSU GLV</vt:lpstr>
      <vt:lpstr>1.1 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boone</dc:creator>
  <dc:description/>
  <cp:lastModifiedBy>Boone, George</cp:lastModifiedBy>
  <cp:revision>22</cp:revision>
  <dcterms:created xsi:type="dcterms:W3CDTF">2025-12-21T01:56:50Z</dcterms:created>
  <dcterms:modified xsi:type="dcterms:W3CDTF">2026-01-14T22:05:11Z</dcterms:modified>
  <dc:language>en-US</dc:language>
</cp:coreProperties>
</file>