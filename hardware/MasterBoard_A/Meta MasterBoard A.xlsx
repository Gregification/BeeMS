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90E02431-BFA1-4281-9FAB-E97B2003C929}" xr6:coauthVersionLast="47" xr6:coauthVersionMax="47" xr10:uidLastSave="{00000000-0000-0000-0000-000000000000}"/>
  <bookViews>
    <workbookView xWindow="28680" yWindow="0" windowWidth="29040" windowHeight="15840" tabRatio="500" activeTab="2" xr2:uid="{00000000-000D-0000-FFFF-FFFF00000000}"/>
  </bookViews>
  <sheets>
    <sheet name="1.0 routing" sheetId="1" r:id="rId1"/>
    <sheet name="1.1" sheetId="2" r:id="rId2"/>
    <sheet name="1.1 power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5" i="1" l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K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<sst xmlns="http://schemas.openxmlformats.org/spreadsheetml/2006/main" count="367" uniqueCount="218">
  <si>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</si>
  <si>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</si>
  <si>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</si>
  <si>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</si>
  <si>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</si>
  <si>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</si>
  <si>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</si>
  <si>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</si>
  <si>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</si>
  <si>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</si>
  <si>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</si>
  <si>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</si>
  <si>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</si>
  <si>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</si>
  <si>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</si>
  <si>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</si>
  <si>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</si>
  <si>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</si>
  <si>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</si>
  <si>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</si>
  <si>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</si>
  <si>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</si>
  <si>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</si>
  <si>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</si>
  <si>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</si>
  <si>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</si>
  <si>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</si>
  <si>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</si>
  <si>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</si>
  <si>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</si>
  <si>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</si>
  <si>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</si>
  <si>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</si>
  <si>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</si>
  <si>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</si>
  <si>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</si>
  <si>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</si>
  <si>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</si>
  <si>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</si>
  <si>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</si>
  <si>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</si>
  <si>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</si>
  <si>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</si>
  <si>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</si>
  <si>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</si>
  <si>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</si>
  <si>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</si>
  <si>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</si>
  <si>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</si>
  <si>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</si>
  <si>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</si>
  <si>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</si>
  <si>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</si>
  <si>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</si>
  <si>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</si>
  <si>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</si>
  <si>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</si>
  <si>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</si>
  <si>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</si>
  <si>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</si>
  <si>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</si>
  <si>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</si>
  <si>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</si>
  <si>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</si>
  <si>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</si>
  <si>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</si>
  <si>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</si>
  <si>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</si>
  <si>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</si>
  <si>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</si>
  <si>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</si>
  <si>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</si>
  <si>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</si>
  <si>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</si>
  <si>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</si>
  <si>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</si>
  <si>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</si>
  <si>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</si>
  <si>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</si>
  <si>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</si>
  <si>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</si>
  <si>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</si>
  <si>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</si>
  <si>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</si>
  <si>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</si>
  <si>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</si>
  <si>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</si>
  <si>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</si>
  <si>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</si>
  <si>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</si>
  <si>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</si>
  <si>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</si>
  <si>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</si>
  <si>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</si>
  <si>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</si>
  <si>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</si>
  <si>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</si>
  <si>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</si>
  <si>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</si>
  <si>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</si>
  <si>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</si>
  <si>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</si>
  <si>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</si>
  <si>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</si>
  <si>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</si>
  <si>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</si>
  <si>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</si>
  <si>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</si>
  <si>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</si>
  <si>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</si>
  <si>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</si>
  <si>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</si>
  <si>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</si>
  <si>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</si>
  <si>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</si>
  <si>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</si>
  <si>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</si>
  <si>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</si>
  <si>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</si>
  <si>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</si>
  <si>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</si>
  <si>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</si>
  <si>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</si>
  <si>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</si>
  <si>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</si>
  <si>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</si>
  <si>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</si>
  <si>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</si>
  <si>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</si>
  <si>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</si>
  <si>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</si>
  <si>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</si>
  <si>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</si>
  <si>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</si>
  <si>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</si>
  <si>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</si>
  <si>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</si>
  <si>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</si>
  <si>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</si>
  <si>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</si>
  <si>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</si>
  <si>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</si>
  <si>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</si>
  <si>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</si>
  <si>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</si>
  <si>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</si>
  <si>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</si>
  <si>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</si>
  <si>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</si>
  <si>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</si>
  <si>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</si>
  <si>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</si>
  <si>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</si>
  <si>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</si>
  <si>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</si>
  <si>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</si>
  <si>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</si>
  <si>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</si>
  <si>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</si>
  <si>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</si>
  <si>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</si>
  <si>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</si>
  <si>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</si>
  <si>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</si>
  <si>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</si>
  <si>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</si>
  <si>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</si>
  <si>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</si>
  <si>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</si>
  <si>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</si>
  <si>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</si>
  <si>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</si>
  <si>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</si>
  <si>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</si>
  <si>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</si>
  <si>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</si>
  <si>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</si>
  <si>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</si>
  <si>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</si>
  <si>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</si>
  <si>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</si>
  <si>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</si>
  <si>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</si>
  <si>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</si>
  <si>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</si>
  <si>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</si>
  <si>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</si>
  <si>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</si>
  <si>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</si>
  <si>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</si>
  <si>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</si>
  <si>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</si>
  <si>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</si>
  <si>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</si>
  <si>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</si>
  <si>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</si>
  <si>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</si>
  <si>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LV batt</t>
  </si>
  <si>
    <t>GLV PSU</t>
  </si>
  <si>
    <t>3.3V</t>
  </si>
  <si>
    <t>5V</t>
  </si>
  <si>
    <t>required</t>
  </si>
  <si>
    <t>designator</t>
  </si>
  <si>
    <t>sheet name</t>
  </si>
  <si>
    <t>default sheet name</t>
  </si>
  <si>
    <t>PWM sig bank</t>
  </si>
  <si>
    <t>Analog Fault Failsafe</t>
  </si>
  <si>
    <t>Main Current Hall Sensing</t>
  </si>
  <si>
    <t>load: typical (A)</t>
  </si>
  <si>
    <t>load: max (A)</t>
  </si>
  <si>
    <t>quiescent load: typical (A)</t>
  </si>
  <si>
    <t>quiescent load: max (A)</t>
  </si>
  <si>
    <t>notes</t>
  </si>
  <si>
    <t>swapped for 48 pin Q1 mcu</t>
  </si>
  <si>
    <t>notes for future itterations</t>
  </si>
  <si>
    <t>maybe add another onboard relay to control precharge, use MCHS to determine when precharge done/ for now we can just send CAN to the motec</t>
  </si>
  <si>
    <t>swapped IL relay 12v  for 24v</t>
  </si>
  <si>
    <t>U102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</si>
</sst>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1">
    <cellStyle name="Normal" xfId="0" builtinId="0"/>
  </cellStyles>
  <dxfs count="8">
    <dxf>
      <alignment horizontal="center" vertical="center" textRotation="0" wrapText="1" indent="0" justifyLastLine="0" shrinkToFit="0" readingOrder="0"/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1:G3" totalsRowShown="0" headerRowDxfId="0" tableBorderDxfId="7">
  <autoFilter ref="A1:G3" xr:uid="{B3CA6A1A-1FD3-48BF-BCF8-90408D82F5F9}"/>
  <tableColumns count="7">
    <tableColumn id="1" xr3:uid="{F176D1B1-93A9-4FA3-9B13-4D1FB62C21AE}" name="sheet name"/>
    <tableColumn id="2" xr3:uid="{EE80E7F9-AF23-49F4-943C-5BDA0C2DD776}" name="designator"/>
    <tableColumn id="3" xr3:uid="{A5946CA3-79A2-4891-BEA3-782B6CE1AAF4}" name="load: typical (A)" dataDxfId="6"/>
    <tableColumn id="4" xr3:uid="{F1B2DA7A-1733-4CED-911F-2548B461F4B4}" name="load: max (A)" dataDxfId="5"/>
    <tableColumn id="5" xr3:uid="{FC4198F1-9F4C-462F-A1EC-84FC5B0E5DA5}" name="quiescent load: typical (A)" dataDxfId="4"/>
    <tableColumn id="6" xr3:uid="{4AE8A94A-AE32-4F27-9526-6334655412FD}" name="quiescent load: max (A)" dataDxfId="3"/>
    <tableColumn id="7" xr3:uid="{B9D254ED-3403-48E7-86C6-D472AEB43A1C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7"/>
  <sheetViews>
    <sheetView zoomScaleNormal="100" workbookViewId="0">
      <selection activeCell="S3" sqref="S3"/>
    </sheetView>
  </sheetViews>
  <sheetFormatPr defaultColWidth="9.140625" defaultRowHeight="15" customHeight="1" x14ac:dyDescent="0.25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 x14ac:dyDescent="0.25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8" t="s">
        <v>4</v>
      </c>
      <c r="P1" s="8"/>
      <c r="Q1" s="8"/>
      <c r="S1" s="4" t="s">
        <v>5</v>
      </c>
    </row>
    <row r="2" spans="1:19" ht="45" x14ac:dyDescent="0.25">
      <c r="L2" s="3" t="s">
        <v>6</v>
      </c>
      <c r="M2" s="3" t="str">
        <f t="shared" ref="M2:M33" si="0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 x14ac:dyDescent="0.25">
      <c r="A3" s="9" t="s">
        <v>10</v>
      </c>
      <c r="B3" s="9"/>
      <c r="C3" s="9"/>
      <c r="D3" s="9"/>
      <c r="E3" s="9"/>
      <c r="F3" s="9"/>
      <c r="G3" s="9"/>
      <c r="H3" s="9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si="0"/>
        <v>n/a</v>
      </c>
      <c r="S3" s="1" t="s">
        <v>186</v>
      </c>
    </row>
    <row r="4" spans="1:19" ht="23.85" customHeight="1" x14ac:dyDescent="0.25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/>
      <c r="L4" s="3" t="s">
        <v>20</v>
      </c>
      <c r="M4" s="3" t="str">
        <f t="shared" si="0"/>
        <v>n/a</v>
      </c>
      <c r="S4" s="1" t="s">
        <v>21</v>
      </c>
    </row>
    <row r="5" spans="1:19" ht="60" x14ac:dyDescent="0.25">
      <c r="A5" s="9"/>
      <c r="B5" s="9"/>
      <c r="C5" s="9"/>
      <c r="D5" s="9"/>
      <c r="E5" s="9"/>
      <c r="F5" s="9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60" x14ac:dyDescent="0.2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60" x14ac:dyDescent="0.2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 x14ac:dyDescent="0.25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 ht="30" x14ac:dyDescent="0.25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 ht="30" x14ac:dyDescent="0.25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 x14ac:dyDescent="0.25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105" x14ac:dyDescent="0.25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 ht="45" x14ac:dyDescent="0.25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 ht="60" x14ac:dyDescent="0.25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 ht="30" x14ac:dyDescent="0.25">
      <c r="L15" s="3" t="s">
        <v>57</v>
      </c>
      <c r="M15" s="3" t="str">
        <f t="shared" si="0"/>
        <v>spi0 MISO/POCI</v>
      </c>
      <c r="S15" s="1" t="s">
        <v>58</v>
      </c>
    </row>
    <row r="16" spans="1:19" ht="30" x14ac:dyDescent="0.25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 x14ac:dyDescent="0.25">
      <c r="A17" s="9" t="s">
        <v>61</v>
      </c>
      <c r="B17" s="9"/>
      <c r="C17" s="9"/>
      <c r="D17" s="9"/>
      <c r="E17" s="9"/>
      <c r="F17" s="9"/>
      <c r="G17" s="9"/>
      <c r="H17" s="9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 x14ac:dyDescent="0.25">
      <c r="A18" s="9" t="s">
        <v>64</v>
      </c>
      <c r="B18" s="9" t="s">
        <v>14</v>
      </c>
      <c r="C18" s="9" t="s">
        <v>65</v>
      </c>
      <c r="D18" s="9" t="s">
        <v>66</v>
      </c>
      <c r="E18" s="9" t="s">
        <v>67</v>
      </c>
      <c r="F18" s="9"/>
      <c r="G18" s="9" t="s">
        <v>19</v>
      </c>
      <c r="H18" s="9"/>
      <c r="L18" s="3" t="s">
        <v>68</v>
      </c>
      <c r="M18" s="3" t="str">
        <f t="shared" si="0"/>
        <v>spi1 MISO/POCI</v>
      </c>
      <c r="S18" s="1" t="s">
        <v>69</v>
      </c>
    </row>
    <row r="19" spans="1:19" ht="30" x14ac:dyDescent="0.25">
      <c r="A19" s="9"/>
      <c r="B19" s="9"/>
      <c r="C19" s="9"/>
      <c r="D19" s="9"/>
      <c r="E19" s="9"/>
      <c r="F19" s="9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 x14ac:dyDescent="0.25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 ht="30" x14ac:dyDescent="0.25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105" x14ac:dyDescent="0.25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 x14ac:dyDescent="0.25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195" x14ac:dyDescent="0.2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 ht="30" x14ac:dyDescent="0.25">
      <c r="A25" s="3" t="s">
        <v>32</v>
      </c>
      <c r="B25" s="3"/>
      <c r="C25" s="3"/>
      <c r="D25" s="3" t="s">
        <v>83</v>
      </c>
      <c r="E25" s="10"/>
      <c r="F25" s="10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 x14ac:dyDescent="0.25">
      <c r="A26" s="3" t="s">
        <v>32</v>
      </c>
      <c r="B26" s="3"/>
      <c r="C26" s="3"/>
      <c r="D26" s="3" t="s">
        <v>79</v>
      </c>
      <c r="E26" s="10"/>
      <c r="F26" s="10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90" x14ac:dyDescent="0.25">
      <c r="A27" s="3" t="s">
        <v>32</v>
      </c>
      <c r="B27" s="3" t="s">
        <v>98</v>
      </c>
      <c r="C27" s="3" t="s">
        <v>99</v>
      </c>
      <c r="D27" s="3" t="s">
        <v>75</v>
      </c>
      <c r="E27" s="10"/>
      <c r="F27" s="10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 x14ac:dyDescent="0.25">
      <c r="A28" s="3" t="s">
        <v>32</v>
      </c>
      <c r="B28" s="3" t="s">
        <v>98</v>
      </c>
      <c r="C28" s="3" t="s">
        <v>102</v>
      </c>
      <c r="D28" s="3" t="s">
        <v>75</v>
      </c>
      <c r="E28" s="10"/>
      <c r="F28" s="10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 x14ac:dyDescent="0.25">
      <c r="A29" s="3" t="s">
        <v>105</v>
      </c>
      <c r="B29" s="3" t="s">
        <v>106</v>
      </c>
      <c r="C29" s="3" t="s">
        <v>107</v>
      </c>
      <c r="D29" s="3" t="s">
        <v>79</v>
      </c>
      <c r="E29" s="10"/>
      <c r="F29" s="10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 x14ac:dyDescent="0.25">
      <c r="A30" s="3" t="s">
        <v>105</v>
      </c>
      <c r="B30" s="3" t="s">
        <v>106</v>
      </c>
      <c r="C30" s="3" t="s">
        <v>107</v>
      </c>
      <c r="D30" s="3" t="s">
        <v>83</v>
      </c>
      <c r="E30" s="10"/>
      <c r="F30" s="10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 x14ac:dyDescent="0.25">
      <c r="L31" s="3" t="s">
        <v>112</v>
      </c>
      <c r="M31" s="3" t="str">
        <f t="shared" si="0"/>
        <v>n/a</v>
      </c>
    </row>
    <row r="32" spans="1:19" ht="15" customHeight="1" x14ac:dyDescent="0.25">
      <c r="A32" s="9" t="s">
        <v>113</v>
      </c>
      <c r="B32" s="9"/>
      <c r="C32" s="9"/>
      <c r="D32" s="9"/>
      <c r="E32" s="9"/>
      <c r="F32" s="9"/>
      <c r="G32" s="9"/>
      <c r="H32" s="9"/>
      <c r="L32" s="3" t="s">
        <v>114</v>
      </c>
      <c r="M32" s="3" t="str">
        <f t="shared" si="0"/>
        <v>n/a</v>
      </c>
    </row>
    <row r="33" spans="1:13" ht="15" customHeight="1" x14ac:dyDescent="0.25">
      <c r="A33" s="9" t="s">
        <v>13</v>
      </c>
      <c r="B33" s="9" t="s">
        <v>14</v>
      </c>
      <c r="C33" s="9" t="s">
        <v>115</v>
      </c>
      <c r="D33" s="9" t="s">
        <v>66</v>
      </c>
      <c r="E33" s="9" t="s">
        <v>67</v>
      </c>
      <c r="F33" s="9"/>
      <c r="G33" s="9" t="s">
        <v>19</v>
      </c>
      <c r="H33" s="9"/>
      <c r="L33" s="3" t="s">
        <v>116</v>
      </c>
      <c r="M33" s="3" t="str">
        <f t="shared" si="0"/>
        <v>n/a</v>
      </c>
    </row>
    <row r="34" spans="1:13" x14ac:dyDescent="0.25">
      <c r="A34" s="9"/>
      <c r="B34" s="9"/>
      <c r="C34" s="9"/>
      <c r="D34" s="9"/>
      <c r="E34" s="9"/>
      <c r="F34" s="9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 x14ac:dyDescent="0.25">
      <c r="A35" s="3" t="s">
        <v>26</v>
      </c>
      <c r="B35" s="3" t="s">
        <v>118</v>
      </c>
      <c r="C35" s="3" t="s">
        <v>119</v>
      </c>
      <c r="D35" s="3" t="s">
        <v>75</v>
      </c>
      <c r="E35" s="10" t="s">
        <v>120</v>
      </c>
      <c r="F35" s="10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 x14ac:dyDescent="0.25">
      <c r="A36" s="3" t="s">
        <v>26</v>
      </c>
      <c r="B36" s="3" t="s">
        <v>118</v>
      </c>
      <c r="C36" s="3" t="s">
        <v>119</v>
      </c>
      <c r="D36" s="3" t="s">
        <v>83</v>
      </c>
      <c r="E36" s="10" t="s">
        <v>120</v>
      </c>
      <c r="F36" s="10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 x14ac:dyDescent="0.25">
      <c r="A37" s="3" t="s">
        <v>26</v>
      </c>
      <c r="B37" s="3" t="s">
        <v>106</v>
      </c>
      <c r="C37" s="3" t="s">
        <v>125</v>
      </c>
      <c r="D37" s="3" t="s">
        <v>126</v>
      </c>
      <c r="E37" s="10" t="s">
        <v>127</v>
      </c>
      <c r="F37" s="10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 x14ac:dyDescent="0.25">
      <c r="A38" s="3" t="s">
        <v>26</v>
      </c>
      <c r="B38" s="3" t="s">
        <v>106</v>
      </c>
      <c r="C38" s="3" t="s">
        <v>125</v>
      </c>
      <c r="D38" s="3" t="s">
        <v>126</v>
      </c>
      <c r="E38" s="10" t="s">
        <v>127</v>
      </c>
      <c r="F38" s="10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 x14ac:dyDescent="0.25">
      <c r="A39" s="3" t="s">
        <v>26</v>
      </c>
      <c r="B39" s="3" t="s">
        <v>132</v>
      </c>
      <c r="C39" s="3" t="s">
        <v>133</v>
      </c>
      <c r="D39" s="3" t="s">
        <v>75</v>
      </c>
      <c r="E39" s="10"/>
      <c r="F39" s="10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 x14ac:dyDescent="0.25">
      <c r="A40" s="3" t="s">
        <v>26</v>
      </c>
      <c r="B40" s="3" t="s">
        <v>132</v>
      </c>
      <c r="C40" s="3" t="s">
        <v>135</v>
      </c>
      <c r="D40" s="3" t="s">
        <v>75</v>
      </c>
      <c r="E40" s="10"/>
      <c r="F40" s="10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 x14ac:dyDescent="0.25">
      <c r="A41" s="3" t="s">
        <v>26</v>
      </c>
      <c r="B41" s="3" t="s">
        <v>132</v>
      </c>
      <c r="C41" s="3" t="s">
        <v>137</v>
      </c>
      <c r="D41" s="3" t="s">
        <v>75</v>
      </c>
      <c r="E41" s="10"/>
      <c r="F41" s="10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 x14ac:dyDescent="0.25">
      <c r="A42" s="3" t="s">
        <v>26</v>
      </c>
      <c r="B42" s="3" t="s">
        <v>132</v>
      </c>
      <c r="C42" s="3" t="s">
        <v>138</v>
      </c>
      <c r="D42" s="3" t="s">
        <v>75</v>
      </c>
      <c r="E42" s="10"/>
      <c r="F42" s="10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 x14ac:dyDescent="0.25">
      <c r="A43" s="3" t="s">
        <v>26</v>
      </c>
      <c r="B43" s="3" t="s">
        <v>140</v>
      </c>
      <c r="C43" s="3" t="s">
        <v>141</v>
      </c>
      <c r="D43" s="3" t="s">
        <v>75</v>
      </c>
      <c r="E43" s="10"/>
      <c r="F43" s="10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 x14ac:dyDescent="0.25">
      <c r="A44" s="3" t="s">
        <v>26</v>
      </c>
      <c r="B44" s="3" t="s">
        <v>140</v>
      </c>
      <c r="C44" s="3" t="s">
        <v>143</v>
      </c>
      <c r="D44" s="3" t="s">
        <v>83</v>
      </c>
      <c r="E44" s="10"/>
      <c r="F44" s="10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 x14ac:dyDescent="0.25">
      <c r="A45" s="3" t="s">
        <v>26</v>
      </c>
      <c r="B45" s="3" t="s">
        <v>145</v>
      </c>
      <c r="C45" s="3" t="s">
        <v>146</v>
      </c>
      <c r="D45" s="3" t="s">
        <v>79</v>
      </c>
      <c r="E45" s="10"/>
      <c r="F45" s="10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 x14ac:dyDescent="0.25">
      <c r="A46" s="3" t="s">
        <v>26</v>
      </c>
      <c r="B46" s="3" t="s">
        <v>145</v>
      </c>
      <c r="C46" s="3" t="s">
        <v>149</v>
      </c>
      <c r="D46" s="3" t="s">
        <v>79</v>
      </c>
      <c r="E46" s="10" t="s">
        <v>150</v>
      </c>
      <c r="F46" s="10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 x14ac:dyDescent="0.25">
      <c r="A47" s="3" t="s">
        <v>26</v>
      </c>
      <c r="B47" s="3" t="s">
        <v>145</v>
      </c>
      <c r="C47" s="3" t="s">
        <v>153</v>
      </c>
      <c r="D47" s="3" t="s">
        <v>79</v>
      </c>
      <c r="E47" s="10" t="s">
        <v>150</v>
      </c>
      <c r="F47" s="10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 x14ac:dyDescent="0.25">
      <c r="A48" s="3" t="s">
        <v>26</v>
      </c>
      <c r="B48" s="3" t="s">
        <v>145</v>
      </c>
      <c r="C48" s="3" t="s">
        <v>154</v>
      </c>
      <c r="D48" s="3" t="s">
        <v>79</v>
      </c>
      <c r="E48" s="10" t="s">
        <v>150</v>
      </c>
      <c r="F48" s="10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 x14ac:dyDescent="0.25">
      <c r="A49" s="3" t="s">
        <v>26</v>
      </c>
      <c r="B49" s="3" t="s">
        <v>156</v>
      </c>
      <c r="C49" s="3" t="s">
        <v>157</v>
      </c>
      <c r="D49" s="3" t="s">
        <v>158</v>
      </c>
      <c r="E49" s="10"/>
      <c r="F49" s="10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 x14ac:dyDescent="0.25">
      <c r="A50" s="3" t="s">
        <v>26</v>
      </c>
      <c r="B50" s="3" t="s">
        <v>156</v>
      </c>
      <c r="C50" s="3" t="s">
        <v>161</v>
      </c>
      <c r="D50" s="3" t="s">
        <v>158</v>
      </c>
      <c r="E50" s="10" t="s">
        <v>150</v>
      </c>
      <c r="F50" s="10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 x14ac:dyDescent="0.25">
      <c r="A51" s="3" t="s">
        <v>26</v>
      </c>
      <c r="B51" s="3" t="s">
        <v>163</v>
      </c>
      <c r="C51" s="3" t="s">
        <v>164</v>
      </c>
      <c r="D51" s="3" t="s">
        <v>83</v>
      </c>
      <c r="E51" s="10" t="s">
        <v>165</v>
      </c>
      <c r="F51" s="10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 x14ac:dyDescent="0.25">
      <c r="A52" s="3" t="s">
        <v>26</v>
      </c>
      <c r="B52" s="3" t="s">
        <v>163</v>
      </c>
      <c r="C52" s="3" t="s">
        <v>168</v>
      </c>
      <c r="D52" s="3" t="s">
        <v>83</v>
      </c>
      <c r="E52" s="10"/>
      <c r="F52" s="10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 x14ac:dyDescent="0.25">
      <c r="A53" s="3" t="s">
        <v>26</v>
      </c>
      <c r="B53" s="3" t="s">
        <v>38</v>
      </c>
      <c r="C53" s="3" t="s">
        <v>171</v>
      </c>
      <c r="D53" s="3" t="s">
        <v>83</v>
      </c>
      <c r="E53" s="10"/>
      <c r="F53" s="10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 x14ac:dyDescent="0.25">
      <c r="A54" s="3" t="s">
        <v>26</v>
      </c>
      <c r="B54" s="3" t="s">
        <v>38</v>
      </c>
      <c r="C54" s="3" t="s">
        <v>173</v>
      </c>
      <c r="D54" s="3" t="s">
        <v>75</v>
      </c>
      <c r="E54" s="10"/>
      <c r="F54" s="10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 x14ac:dyDescent="0.25">
      <c r="A55" s="3"/>
      <c r="B55" s="3"/>
      <c r="C55" s="3"/>
      <c r="D55" s="3"/>
      <c r="E55" s="10"/>
      <c r="F55" s="10"/>
      <c r="G55" s="3"/>
      <c r="H55" s="3"/>
      <c r="L55" s="3" t="s">
        <v>176</v>
      </c>
      <c r="M55" s="3" t="str">
        <f t="shared" si="1"/>
        <v>n/a</v>
      </c>
    </row>
    <row r="56" spans="1:13" x14ac:dyDescent="0.25">
      <c r="A56" s="3"/>
      <c r="B56" s="3"/>
      <c r="C56" s="3"/>
      <c r="D56" s="3"/>
      <c r="E56" s="10"/>
      <c r="F56" s="10"/>
      <c r="G56" s="3"/>
      <c r="H56" s="3"/>
      <c r="L56" s="3" t="s">
        <v>177</v>
      </c>
      <c r="M56" s="3" t="str">
        <f t="shared" si="1"/>
        <v>n/a</v>
      </c>
    </row>
    <row r="57" spans="1:13" x14ac:dyDescent="0.25">
      <c r="A57" s="3"/>
      <c r="B57" s="3"/>
      <c r="C57" s="3"/>
      <c r="D57" s="3"/>
      <c r="E57" s="10"/>
      <c r="F57" s="10"/>
      <c r="G57" s="3"/>
      <c r="H57" s="3"/>
      <c r="L57" s="3" t="s">
        <v>178</v>
      </c>
      <c r="M57" s="3" t="str">
        <f t="shared" si="1"/>
        <v>n/a</v>
      </c>
    </row>
    <row r="58" spans="1:13" x14ac:dyDescent="0.25">
      <c r="A58" s="3"/>
      <c r="B58" s="3"/>
      <c r="C58" s="3"/>
      <c r="D58" s="3"/>
      <c r="E58" s="10"/>
      <c r="F58" s="10"/>
      <c r="G58" s="3"/>
      <c r="H58" s="3"/>
      <c r="L58" s="3" t="s">
        <v>179</v>
      </c>
      <c r="M58" s="3" t="str">
        <f t="shared" si="1"/>
        <v>n/a</v>
      </c>
    </row>
    <row r="59" spans="1:13" x14ac:dyDescent="0.25">
      <c r="L59" s="3" t="s">
        <v>180</v>
      </c>
      <c r="M59" s="3" t="str">
        <f t="shared" si="1"/>
        <v>n/a</v>
      </c>
    </row>
    <row r="60" spans="1:13" x14ac:dyDescent="0.25">
      <c r="L60" s="3" t="s">
        <v>166</v>
      </c>
      <c r="M60" s="3" t="str">
        <f t="shared" si="1"/>
        <v>gpio</v>
      </c>
    </row>
    <row r="61" spans="1:13" x14ac:dyDescent="0.25">
      <c r="L61" s="3" t="s">
        <v>169</v>
      </c>
      <c r="M61" s="3" t="str">
        <f t="shared" si="1"/>
        <v>gpio</v>
      </c>
    </row>
    <row r="62" spans="1:13" x14ac:dyDescent="0.25">
      <c r="L62" s="3" t="s">
        <v>181</v>
      </c>
      <c r="M62" s="3" t="str">
        <f t="shared" si="1"/>
        <v>n/a</v>
      </c>
    </row>
    <row r="63" spans="1:13" x14ac:dyDescent="0.25">
      <c r="L63" s="3" t="s">
        <v>182</v>
      </c>
      <c r="M63" s="3" t="str">
        <f t="shared" si="1"/>
        <v>n/a</v>
      </c>
    </row>
    <row r="64" spans="1:13" x14ac:dyDescent="0.25">
      <c r="L64" s="3" t="s">
        <v>183</v>
      </c>
      <c r="M64" s="3" t="str">
        <f t="shared" si="1"/>
        <v>n/a</v>
      </c>
    </row>
    <row r="65" spans="12:13" x14ac:dyDescent="0.25">
      <c r="L65" s="3" t="s">
        <v>184</v>
      </c>
      <c r="M65" s="3" t="str">
        <f t="shared" si="1"/>
        <v>n/a</v>
      </c>
    </row>
    <row r="66" spans="12:13" x14ac:dyDescent="0.25">
      <c r="L66" s="3"/>
      <c r="M66" s="3"/>
    </row>
    <row r="67" spans="12:13" x14ac:dyDescent="0.25">
      <c r="L67" s="3"/>
      <c r="M67" s="3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2" priority="2" operator="notEqual">
      <formula>"n/a"</formula>
    </cfRule>
  </conditionalFormatting>
  <conditionalFormatting sqref="M1:M1048576 K3">
    <cfRule type="cellIs" dxfId="1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dimension ref="A1:B17"/>
  <sheetViews>
    <sheetView workbookViewId="0">
      <selection activeCell="B18" sqref="B18"/>
    </sheetView>
  </sheetViews>
  <sheetFormatPr defaultRowHeight="15" x14ac:dyDescent="0.25"/>
  <cols>
    <col min="1" max="1" width="14.5703125" customWidth="1"/>
    <col min="2" max="2" width="111.85546875" customWidth="1"/>
  </cols>
  <sheetData>
    <row r="1" spans="1:2" x14ac:dyDescent="0.25">
      <c r="A1" t="s">
        <v>188</v>
      </c>
    </row>
    <row r="2" spans="1:2" x14ac:dyDescent="0.25">
      <c r="B2" t="s">
        <v>187</v>
      </c>
    </row>
    <row r="3" spans="1:2" x14ac:dyDescent="0.25">
      <c r="A3" t="s">
        <v>189</v>
      </c>
    </row>
    <row r="4" spans="1:2" x14ac:dyDescent="0.25">
      <c r="B4" t="s">
        <v>190</v>
      </c>
    </row>
    <row r="5" spans="1:2" x14ac:dyDescent="0.25">
      <c r="B5" t="s">
        <v>193</v>
      </c>
    </row>
    <row r="6" spans="1:2" x14ac:dyDescent="0.25">
      <c r="A6" t="s">
        <v>194</v>
      </c>
      <c r="B6" t="s">
        <v>191</v>
      </c>
    </row>
    <row r="7" spans="1:2" x14ac:dyDescent="0.25">
      <c r="B7" t="s">
        <v>192</v>
      </c>
    </row>
    <row r="8" spans="1:2" x14ac:dyDescent="0.25">
      <c r="B8" t="s">
        <v>195</v>
      </c>
    </row>
    <row r="9" spans="1:2" x14ac:dyDescent="0.25">
      <c r="B9" t="s">
        <v>196</v>
      </c>
    </row>
    <row r="10" spans="1:2" x14ac:dyDescent="0.25">
      <c r="A10" t="s">
        <v>194</v>
      </c>
      <c r="B10" t="s">
        <v>213</v>
      </c>
    </row>
    <row r="11" spans="1:2" x14ac:dyDescent="0.25">
      <c r="B11" t="s">
        <v>216</v>
      </c>
    </row>
    <row r="16" spans="1:2" x14ac:dyDescent="0.25">
      <c r="A16" t="s">
        <v>214</v>
      </c>
    </row>
    <row r="17" spans="2:2" x14ac:dyDescent="0.25">
      <c r="B17" t="s">
        <v>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dimension ref="A1:U14"/>
  <sheetViews>
    <sheetView tabSelected="1" workbookViewId="0">
      <selection activeCell="D3" sqref="D3"/>
    </sheetView>
  </sheetViews>
  <sheetFormatPr defaultRowHeight="15" x14ac:dyDescent="0.25"/>
  <cols>
    <col min="1" max="1" width="31.140625" customWidth="1"/>
    <col min="2" max="2" width="17.28515625" customWidth="1"/>
    <col min="3" max="3" width="15.140625" customWidth="1"/>
    <col min="4" max="4" width="13.28515625" customWidth="1"/>
    <col min="5" max="5" width="15.140625" customWidth="1"/>
    <col min="6" max="6" width="13.140625" customWidth="1"/>
    <col min="7" max="7" width="24.7109375" customWidth="1"/>
    <col min="8" max="8" width="9.140625" customWidth="1"/>
    <col min="9" max="9" width="9.42578125" customWidth="1"/>
    <col min="10" max="10" width="25.85546875" customWidth="1"/>
  </cols>
  <sheetData>
    <row r="1" spans="1:21" ht="36.75" customHeight="1" x14ac:dyDescent="0.25">
      <c r="A1" s="20" t="s">
        <v>203</v>
      </c>
      <c r="B1" s="21" t="s">
        <v>202</v>
      </c>
      <c r="C1" s="22" t="s">
        <v>208</v>
      </c>
      <c r="D1" s="20" t="s">
        <v>209</v>
      </c>
      <c r="E1" s="22" t="s">
        <v>210</v>
      </c>
      <c r="F1" s="22" t="s">
        <v>211</v>
      </c>
      <c r="G1" s="23" t="s">
        <v>212</v>
      </c>
      <c r="J1" t="s">
        <v>204</v>
      </c>
    </row>
    <row r="2" spans="1:21" x14ac:dyDescent="0.25">
      <c r="A2" s="15" t="s">
        <v>26</v>
      </c>
      <c r="B2" s="14" t="s">
        <v>217</v>
      </c>
      <c r="C2" s="13">
        <v>0.1</v>
      </c>
      <c r="D2" s="13">
        <v>0.1</v>
      </c>
      <c r="E2" s="13"/>
      <c r="F2" s="13"/>
      <c r="G2" s="16"/>
      <c r="J2" t="s">
        <v>26</v>
      </c>
    </row>
    <row r="3" spans="1:21" x14ac:dyDescent="0.25">
      <c r="A3" s="17"/>
      <c r="B3" s="18"/>
      <c r="C3" s="18"/>
      <c r="D3" s="18"/>
      <c r="E3" s="18"/>
      <c r="F3" s="18"/>
      <c r="G3" s="19"/>
      <c r="J3" t="s">
        <v>198</v>
      </c>
    </row>
    <row r="4" spans="1:21" x14ac:dyDescent="0.25">
      <c r="J4" t="s">
        <v>205</v>
      </c>
    </row>
    <row r="5" spans="1:21" x14ac:dyDescent="0.25">
      <c r="J5" t="s">
        <v>38</v>
      </c>
    </row>
    <row r="6" spans="1:21" x14ac:dyDescent="0.25">
      <c r="J6" t="s">
        <v>206</v>
      </c>
    </row>
    <row r="7" spans="1:21" x14ac:dyDescent="0.25">
      <c r="J7" t="s">
        <v>163</v>
      </c>
    </row>
    <row r="8" spans="1:21" x14ac:dyDescent="0.25">
      <c r="J8" t="s">
        <v>207</v>
      </c>
    </row>
    <row r="11" spans="1:21" x14ac:dyDescent="0.25">
      <c r="U11" t="s">
        <v>201</v>
      </c>
    </row>
    <row r="12" spans="1:21" x14ac:dyDescent="0.25">
      <c r="T12" s="11" t="s">
        <v>199</v>
      </c>
    </row>
    <row r="13" spans="1:21" x14ac:dyDescent="0.25">
      <c r="R13" s="11" t="s">
        <v>197</v>
      </c>
      <c r="S13" s="12" t="s">
        <v>198</v>
      </c>
      <c r="T13" s="11"/>
    </row>
    <row r="14" spans="1:21" x14ac:dyDescent="0.25">
      <c r="T14" s="11" t="s">
        <v>200</v>
      </c>
    </row>
  </sheetData>
  <dataValidations count="1">
    <dataValidation type="list" allowBlank="1" showInputMessage="1" showErrorMessage="1" sqref="A1:A1048576" xr:uid="{BFA120B5-3371-45B8-85D7-4B1D8EF2B096}">
      <formula1>$J:$J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power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yong boone</cp:lastModifiedBy>
  <cp:revision>22</cp:revision>
  <dcterms:created xsi:type="dcterms:W3CDTF">2025-12-21T01:56:50Z</dcterms:created>
  <dcterms:modified xsi:type="dcterms:W3CDTF">2026-01-10T04:57:13Z</dcterms:modified>
  <dc:language>en-US</dc:language>
</cp:coreProperties>
</file>