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BeeMS\hardware\MasterBoard_A\"/>
    </mc:Choice>
  </mc:AlternateContent>
  <xr:revisionPtr revIDLastSave="0" documentId="13_ncr:1_{81E2903C-4796-4E39-8922-82F5431EBEA9}" xr6:coauthVersionLast="47" xr6:coauthVersionMax="47" xr10:uidLastSave="{00000000-0000-0000-0000-000000000000}"/>
  <bookViews>
    <workbookView xWindow="28680" yWindow="0" windowWidth="29040" windowHeight="15840" xr2:uid="{E16E688C-64E3-4955-9FD3-F7092625115C}"/>
  </bookViews>
  <sheets>
    <sheet name="1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34" i="1"/>
  <c r="M35" i="1"/>
  <c r="M36" i="1"/>
  <c r="K3" i="1"/>
  <c r="M15" i="1"/>
  <c r="M3" i="1"/>
  <c r="M4" i="1"/>
  <c r="M5" i="1"/>
  <c r="M6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yong boone</author>
  </authors>
  <commentList>
    <comment ref="D6" authorId="0" shapeId="0" xr:uid="{831EE38B-B6AA-48F3-B296-40564B799884}">
      <text>
        <r>
          <rPr>
            <b/>
            <sz val="9"/>
            <color indexed="81"/>
            <rFont val="Tahoma"/>
            <charset val="1"/>
          </rPr>
          <t>yong boone:</t>
        </r>
        <r>
          <rPr>
            <sz val="9"/>
            <color indexed="81"/>
            <rFont val="Tahoma"/>
            <charset val="1"/>
          </rPr>
          <t xml:space="preserve">
wow</t>
        </r>
      </text>
    </comment>
    <comment ref="D8" authorId="0" shapeId="0" xr:uid="{F52A6C7E-1283-48BF-A09D-D77DAB3FB524}">
      <text>
        <r>
          <rPr>
            <b/>
            <sz val="9"/>
            <color indexed="81"/>
            <rFont val="Tahoma"/>
            <charset val="1"/>
          </rPr>
          <t>yong boone:</t>
        </r>
        <r>
          <rPr>
            <sz val="9"/>
            <color indexed="81"/>
            <rFont val="Tahoma"/>
            <charset val="1"/>
          </rPr>
          <t xml:space="preserve">
theoretical design max: 80MHz
but guarenteeed only up to 33.3Mhz</t>
        </r>
      </text>
    </comment>
  </commentList>
</comments>
</file>

<file path=xl/sharedStrings.xml><?xml version="1.0" encoding="utf-8"?>
<sst xmlns="http://schemas.openxmlformats.org/spreadsheetml/2006/main" count="301" uniqueCount="157">
  <si>
    <t>last updated</t>
  </si>
  <si>
    <t>page</t>
  </si>
  <si>
    <t>purpose</t>
  </si>
  <si>
    <t>allocated</t>
  </si>
  <si>
    <t>bus</t>
  </si>
  <si>
    <t>Root</t>
  </si>
  <si>
    <t>sub section</t>
  </si>
  <si>
    <t>MCHS</t>
  </si>
  <si>
    <t>max speed</t>
  </si>
  <si>
    <t>100Mhz</t>
  </si>
  <si>
    <t>max expected speed</t>
  </si>
  <si>
    <t>device</t>
  </si>
  <si>
    <t>MC Hall sensor. inpercise</t>
  </si>
  <si>
    <t>MC Hall sensor. percise</t>
  </si>
  <si>
    <t>1Mhz</t>
  </si>
  <si>
    <t>format</t>
  </si>
  <si>
    <t>00,01,10,11</t>
  </si>
  <si>
    <t>Ethernet</t>
  </si>
  <si>
    <t>ethernet controller</t>
  </si>
  <si>
    <t>33.3Mhz</t>
  </si>
  <si>
    <t>01,</t>
  </si>
  <si>
    <t>Non Bus IO</t>
  </si>
  <si>
    <t>can bus interface</t>
  </si>
  <si>
    <t>IO type</t>
  </si>
  <si>
    <t>note</t>
  </si>
  <si>
    <t>to note</t>
  </si>
  <si>
    <t>can transceiver to MCU</t>
  </si>
  <si>
    <t>Perf</t>
  </si>
  <si>
    <t>Function</t>
  </si>
  <si>
    <t>Pin</t>
  </si>
  <si>
    <t>SPI bus devices</t>
  </si>
  <si>
    <t>pin column</t>
  </si>
  <si>
    <t>port</t>
  </si>
  <si>
    <t>occupation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</si>
  <si>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</si>
  <si>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</si>
  <si>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</si>
  <si>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</si>
  <si>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</si>
  <si>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</si>
  <si>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</si>
  <si>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</si>
  <si>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</si>
  <si>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</si>
  <si>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</si>
  <si>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</si>
  <si>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</si>
  <si>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</si>
  <si>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</si>
  <si>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</si>
  <si>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</si>
  <si>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</si>
  <si>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</si>
  <si>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</si>
  <si>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</si>
  <si>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</si>
  <si>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</si>
  <si>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</si>
  <si>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</si>
  <si>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</si>
  <si>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</si>
  <si>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</si>
  <si>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</si>
  <si>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</si>
  <si>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</si>
  <si>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</si>
  <si>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Bus IO</t>
  </si>
  <si>
    <t>MCU</t>
  </si>
  <si>
    <t>PP</t>
  </si>
  <si>
    <t>SPI1</t>
  </si>
  <si>
    <t>SPI0</t>
  </si>
  <si>
    <t>TODO</t>
  </si>
  <si>
    <t>DI</t>
  </si>
  <si>
    <t>sub section 2</t>
  </si>
  <si>
    <t>percise CS</t>
  </si>
  <si>
    <t>MC Hall Sensor</t>
  </si>
  <si>
    <t>inpercise CS</t>
  </si>
  <si>
    <t>DO</t>
  </si>
  <si>
    <t>spi0 SCLK</t>
  </si>
  <si>
    <t>spi0 MISO/POCI</t>
  </si>
  <si>
    <t>spi0 MOSI/PICO</t>
  </si>
  <si>
    <t>MCAN0 RX</t>
  </si>
  <si>
    <t>MCAN0 TX</t>
  </si>
  <si>
    <t>spi1 SCLK</t>
  </si>
  <si>
    <t>spi1 MISO/POCI</t>
  </si>
  <si>
    <t>spi1 MOSI/PICO</t>
  </si>
  <si>
    <t>gpio</t>
  </si>
  <si>
    <t>SWD</t>
  </si>
  <si>
    <t>SWDIO</t>
  </si>
  <si>
    <t>SWCLK</t>
  </si>
  <si>
    <t>Indicator LEDs</t>
  </si>
  <si>
    <t>indicator 1</t>
  </si>
  <si>
    <t>MCAN0</t>
  </si>
  <si>
    <t>indicator 2</t>
  </si>
  <si>
    <t>BMS Fault</t>
  </si>
  <si>
    <t>RTOS running</t>
  </si>
  <si>
    <t>Interlock</t>
  </si>
  <si>
    <t>interlock control</t>
  </si>
  <si>
    <t>interlock sense</t>
  </si>
  <si>
    <t>PWM bank</t>
  </si>
  <si>
    <t>PWM</t>
  </si>
  <si>
    <t>Board side sensing</t>
  </si>
  <si>
    <t>temp sensor 1</t>
  </si>
  <si>
    <t>AI</t>
  </si>
  <si>
    <t>temp sensor 2</t>
  </si>
  <si>
    <t>HRLV interface</t>
  </si>
  <si>
    <t>HRLV Active Presence</t>
  </si>
  <si>
    <t>idk if output defined when HRLV unpowered</t>
  </si>
  <si>
    <t>HRLV Interlock presence</t>
  </si>
  <si>
    <t>interrupt</t>
  </si>
  <si>
    <t>controller CS</t>
  </si>
  <si>
    <t>disabled</t>
  </si>
  <si>
    <t>uart TX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</si>
  <si>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</si>
  <si>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</si>
  <si>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</si>
  <si>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</si>
  <si>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</si>
  <si>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</si>
  <si>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</si>
  <si>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</si>
  <si>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</si>
  <si>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</si>
  <si>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</si>
  <si>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</si>
  <si>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</si>
  <si>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</si>
  <si>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</si>
  <si>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</si>
  <si>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</si>
  <si>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</si>
  <si>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</si>
  <si>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</si>
  <si>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</si>
  <si>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</si>
  <si>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</si>
  <si>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</si>
  <si>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</si>
  <si>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</si>
  <si>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</si>
  <si>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</si>
  <si>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</si>
  <si>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</si>
  <si>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</si>
  <si>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</si>
  <si>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none</t>
  </si>
  <si>
    <t>DIO</t>
  </si>
  <si>
    <t>do not manually configure</t>
  </si>
  <si>
    <t>UART2</t>
  </si>
  <si>
    <t>uart UI</t>
  </si>
  <si>
    <t>UART2 tx</t>
  </si>
  <si>
    <t>UART2 rx</t>
  </si>
  <si>
    <t>bank 1 signal 1</t>
  </si>
  <si>
    <t>bank 1 signal 2</t>
  </si>
  <si>
    <t>bank 1 signal 3</t>
  </si>
  <si>
    <t>bank 1 signal 4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</si>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</sst>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33B8-A771-42AD-BF13-358F348FDA0F}">
  <dimension ref="A1:M67"/>
  <sheetViews>
    <sheetView tabSelected="1" topLeftCell="A24" workbookViewId="0">
      <selection activeCell="G53" sqref="G53"/>
    </sheetView>
  </sheetViews>
  <sheetFormatPr defaultRowHeight="15" x14ac:dyDescent="0.25"/>
  <cols>
    <col min="1" max="1" width="14.42578125" style="2" customWidth="1"/>
    <col min="2" max="2" width="24.85546875" style="2" customWidth="1"/>
    <col min="3" max="3" width="25.5703125" style="2" customWidth="1"/>
    <col min="4" max="4" width="14.140625" style="2" customWidth="1"/>
    <col min="5" max="5" width="13.7109375" style="2" customWidth="1"/>
    <col min="6" max="6" width="17.28515625" style="2" customWidth="1"/>
    <col min="7" max="7" width="14" style="2" customWidth="1"/>
    <col min="8" max="8" width="15.7109375" style="2" customWidth="1"/>
    <col min="9" max="12" width="9.140625" style="2"/>
    <col min="13" max="13" width="20.5703125" style="2" customWidth="1"/>
    <col min="14" max="16384" width="9.140625" style="2"/>
  </cols>
  <sheetData>
    <row r="1" spans="1:13" x14ac:dyDescent="0.25">
      <c r="A1" s="2" t="s">
        <v>0</v>
      </c>
      <c r="B1" s="3">
        <v>46011</v>
      </c>
      <c r="C1" s="3"/>
      <c r="D1" s="3"/>
      <c r="G1" s="2" t="s">
        <v>31</v>
      </c>
      <c r="L1" s="1" t="s">
        <v>32</v>
      </c>
      <c r="M1" s="1" t="s">
        <v>33</v>
      </c>
    </row>
    <row r="2" spans="1:13" x14ac:dyDescent="0.25">
      <c r="L2" s="1" t="s">
        <v>34</v>
      </c>
      <c r="M2" s="1" t="str">
        <f>IFERROR(INDEX($H$15:$H$1000, MATCH($L2, $G$15:$G$1000, 0)), "n/a")</f>
        <v>n/a</v>
      </c>
    </row>
    <row r="3" spans="1:13" x14ac:dyDescent="0.25">
      <c r="A3" s="9" t="s">
        <v>30</v>
      </c>
      <c r="B3" s="9"/>
      <c r="C3" s="9"/>
      <c r="D3" s="9"/>
      <c r="E3" s="9"/>
      <c r="F3" s="9"/>
      <c r="G3" s="9"/>
      <c r="H3" s="9"/>
      <c r="J3" s="2" t="s">
        <v>71</v>
      </c>
      <c r="K3" s="2" t="str">
        <f>IFERROR(INDEX($H$15:$H$1000, MATCH($J3, $G$15:$G$1000, 0)), "n/a")</f>
        <v>n/a</v>
      </c>
      <c r="L3" s="1" t="s">
        <v>35</v>
      </c>
      <c r="M3" s="1" t="str">
        <f t="shared" ref="K3:M37" si="0">IFERROR(INDEX($H$15:$H$1000, MATCH($L3, $G$15:$G$1000, 0)), "n/a")</f>
        <v>n/a</v>
      </c>
    </row>
    <row r="4" spans="1:13" x14ac:dyDescent="0.25">
      <c r="A4" s="9" t="s">
        <v>1</v>
      </c>
      <c r="B4" s="10" t="s">
        <v>6</v>
      </c>
      <c r="C4" s="9" t="s">
        <v>11</v>
      </c>
      <c r="D4" s="9" t="s">
        <v>8</v>
      </c>
      <c r="E4" s="9" t="s">
        <v>10</v>
      </c>
      <c r="F4" s="10" t="s">
        <v>15</v>
      </c>
      <c r="G4" s="9" t="s">
        <v>3</v>
      </c>
      <c r="H4" s="9"/>
      <c r="L4" s="1" t="s">
        <v>36</v>
      </c>
      <c r="M4" s="1" t="str">
        <f t="shared" si="0"/>
        <v>n/a</v>
      </c>
    </row>
    <row r="5" spans="1:13" x14ac:dyDescent="0.25">
      <c r="A5" s="9"/>
      <c r="B5" s="11"/>
      <c r="C5" s="9"/>
      <c r="D5" s="9"/>
      <c r="E5" s="9"/>
      <c r="F5" s="11"/>
      <c r="G5" s="4" t="s">
        <v>4</v>
      </c>
      <c r="H5" s="4" t="s">
        <v>24</v>
      </c>
      <c r="L5" s="1" t="s">
        <v>37</v>
      </c>
      <c r="M5" s="1" t="str">
        <f t="shared" si="0"/>
        <v>n/a</v>
      </c>
    </row>
    <row r="6" spans="1:13" x14ac:dyDescent="0.25">
      <c r="A6" s="1" t="s">
        <v>5</v>
      </c>
      <c r="B6" s="1" t="s">
        <v>7</v>
      </c>
      <c r="C6" s="1" t="s">
        <v>13</v>
      </c>
      <c r="D6" s="1" t="s">
        <v>9</v>
      </c>
      <c r="E6" s="1" t="s">
        <v>14</v>
      </c>
      <c r="F6" s="1" t="s">
        <v>16</v>
      </c>
      <c r="G6" s="1" t="s">
        <v>69</v>
      </c>
      <c r="H6" s="1"/>
      <c r="L6" s="1" t="s">
        <v>38</v>
      </c>
      <c r="M6" s="1" t="str">
        <f t="shared" si="0"/>
        <v>n/a</v>
      </c>
    </row>
    <row r="7" spans="1:13" x14ac:dyDescent="0.25">
      <c r="A7" s="1" t="s">
        <v>5</v>
      </c>
      <c r="B7" s="1" t="s">
        <v>7</v>
      </c>
      <c r="C7" s="1" t="s">
        <v>12</v>
      </c>
      <c r="D7" s="1" t="s">
        <v>9</v>
      </c>
      <c r="E7" s="1" t="s">
        <v>14</v>
      </c>
      <c r="F7" s="1" t="s">
        <v>16</v>
      </c>
      <c r="G7" s="1" t="s">
        <v>69</v>
      </c>
      <c r="H7" s="1"/>
      <c r="L7" s="1" t="s">
        <v>39</v>
      </c>
      <c r="M7" s="1" t="str">
        <f t="shared" si="0"/>
        <v>gpio</v>
      </c>
    </row>
    <row r="8" spans="1:13" x14ac:dyDescent="0.25">
      <c r="A8" s="1" t="s">
        <v>5</v>
      </c>
      <c r="B8" s="1" t="s">
        <v>17</v>
      </c>
      <c r="C8" s="1" t="s">
        <v>18</v>
      </c>
      <c r="D8" s="1" t="s">
        <v>19</v>
      </c>
      <c r="E8" s="1" t="s">
        <v>19</v>
      </c>
      <c r="F8" s="1" t="s">
        <v>20</v>
      </c>
      <c r="G8" s="1" t="s">
        <v>70</v>
      </c>
      <c r="H8" s="1"/>
      <c r="L8" s="1" t="s">
        <v>40</v>
      </c>
      <c r="M8" s="1" t="str">
        <f t="shared" si="0"/>
        <v>gpio</v>
      </c>
    </row>
    <row r="9" spans="1:13" x14ac:dyDescent="0.25">
      <c r="A9" s="1"/>
      <c r="B9" s="1"/>
      <c r="C9" s="1"/>
      <c r="D9" s="1"/>
      <c r="E9" s="1"/>
      <c r="F9" s="1"/>
      <c r="G9" s="1"/>
      <c r="H9" s="1"/>
      <c r="L9" s="1" t="s">
        <v>41</v>
      </c>
      <c r="M9" s="1" t="str">
        <f t="shared" si="0"/>
        <v>n/a</v>
      </c>
    </row>
    <row r="10" spans="1:13" x14ac:dyDescent="0.25">
      <c r="A10" s="1"/>
      <c r="B10" s="1"/>
      <c r="C10" s="1"/>
      <c r="D10" s="1"/>
      <c r="E10" s="1"/>
      <c r="F10" s="1"/>
      <c r="G10" s="1"/>
      <c r="H10" s="1"/>
      <c r="L10" s="1" t="s">
        <v>42</v>
      </c>
      <c r="M10" s="1" t="str">
        <f t="shared" si="0"/>
        <v>n/a</v>
      </c>
    </row>
    <row r="11" spans="1:13" x14ac:dyDescent="0.25">
      <c r="A11" s="1"/>
      <c r="B11" s="1"/>
      <c r="C11" s="1"/>
      <c r="D11" s="1"/>
      <c r="E11" s="1"/>
      <c r="F11" s="1"/>
      <c r="G11" s="1"/>
      <c r="H11" s="1"/>
      <c r="L11" s="1" t="s">
        <v>43</v>
      </c>
      <c r="M11" s="1" t="str">
        <f t="shared" si="0"/>
        <v>n/a</v>
      </c>
    </row>
    <row r="12" spans="1:13" x14ac:dyDescent="0.25">
      <c r="A12" s="1"/>
      <c r="B12" s="1"/>
      <c r="C12" s="1"/>
      <c r="D12" s="1"/>
      <c r="E12" s="1"/>
      <c r="F12" s="1"/>
      <c r="G12" s="1"/>
      <c r="H12" s="1"/>
      <c r="L12" s="1" t="s">
        <v>44</v>
      </c>
      <c r="M12" s="1" t="str">
        <f t="shared" si="0"/>
        <v>n/a</v>
      </c>
    </row>
    <row r="13" spans="1:13" x14ac:dyDescent="0.25">
      <c r="A13" s="1"/>
      <c r="B13" s="1"/>
      <c r="C13" s="1"/>
      <c r="D13" s="1"/>
      <c r="E13" s="1"/>
      <c r="F13" s="1"/>
      <c r="G13" s="1"/>
      <c r="H13" s="1"/>
      <c r="L13" s="1" t="s">
        <v>45</v>
      </c>
      <c r="M13" s="1" t="str">
        <f t="shared" si="0"/>
        <v>n/a</v>
      </c>
    </row>
    <row r="14" spans="1:13" x14ac:dyDescent="0.25">
      <c r="A14" s="1"/>
      <c r="B14" s="1"/>
      <c r="C14" s="1"/>
      <c r="D14" s="1"/>
      <c r="E14" s="1"/>
      <c r="F14" s="1"/>
      <c r="G14" s="1"/>
      <c r="H14" s="1"/>
      <c r="L14" s="1" t="s">
        <v>46</v>
      </c>
      <c r="M14" s="1" t="str">
        <f t="shared" si="0"/>
        <v>spi0 SCLK</v>
      </c>
    </row>
    <row r="15" spans="1:13" x14ac:dyDescent="0.25">
      <c r="L15" s="1" t="s">
        <v>47</v>
      </c>
      <c r="M15" s="1" t="str">
        <f>IFERROR(INDEX($H$15:$H$1000, MATCH($L15, $G$15:$G$1000, 0)), "n/a")</f>
        <v>spi0 MISO/POCI</v>
      </c>
    </row>
    <row r="16" spans="1:13" x14ac:dyDescent="0.25">
      <c r="L16" s="1" t="s">
        <v>48</v>
      </c>
      <c r="M16" s="1" t="str">
        <f t="shared" si="0"/>
        <v>spi0 MOSI/PICO</v>
      </c>
    </row>
    <row r="17" spans="1:13" x14ac:dyDescent="0.25">
      <c r="A17" s="16" t="s">
        <v>66</v>
      </c>
      <c r="B17" s="17"/>
      <c r="C17" s="17"/>
      <c r="D17" s="17"/>
      <c r="E17" s="17"/>
      <c r="F17" s="17"/>
      <c r="G17" s="17"/>
      <c r="H17" s="18"/>
      <c r="L17" s="1" t="s">
        <v>49</v>
      </c>
      <c r="M17" s="1" t="str">
        <f t="shared" si="0"/>
        <v>gpio</v>
      </c>
    </row>
    <row r="18" spans="1:13" ht="15.75" customHeight="1" x14ac:dyDescent="0.25">
      <c r="A18" s="10" t="s">
        <v>27</v>
      </c>
      <c r="B18" s="10" t="s">
        <v>6</v>
      </c>
      <c r="C18" s="10" t="s">
        <v>73</v>
      </c>
      <c r="D18" s="10" t="s">
        <v>23</v>
      </c>
      <c r="E18" s="12" t="s">
        <v>25</v>
      </c>
      <c r="F18" s="13"/>
      <c r="G18" s="16" t="s">
        <v>3</v>
      </c>
      <c r="H18" s="18"/>
      <c r="L18" s="1" t="s">
        <v>50</v>
      </c>
      <c r="M18" s="1" t="str">
        <f t="shared" si="0"/>
        <v>spi1 MISO/POCI</v>
      </c>
    </row>
    <row r="19" spans="1:13" x14ac:dyDescent="0.25">
      <c r="A19" s="11"/>
      <c r="B19" s="11"/>
      <c r="C19" s="11"/>
      <c r="D19" s="11"/>
      <c r="E19" s="14"/>
      <c r="F19" s="15"/>
      <c r="G19" s="4" t="s">
        <v>29</v>
      </c>
      <c r="H19" s="4" t="s">
        <v>28</v>
      </c>
      <c r="L19" s="1" t="s">
        <v>51</v>
      </c>
      <c r="M19" s="1" t="str">
        <f t="shared" si="0"/>
        <v>spi1 SCLK</v>
      </c>
    </row>
    <row r="20" spans="1:13" ht="15.75" customHeight="1" x14ac:dyDescent="0.25">
      <c r="A20" s="1" t="s">
        <v>70</v>
      </c>
      <c r="B20" s="1" t="s">
        <v>17</v>
      </c>
      <c r="C20" s="1" t="s">
        <v>110</v>
      </c>
      <c r="D20" s="1" t="s">
        <v>68</v>
      </c>
      <c r="E20" s="5"/>
      <c r="F20" s="6"/>
      <c r="G20" s="1" t="s">
        <v>49</v>
      </c>
      <c r="H20" s="1" t="s">
        <v>86</v>
      </c>
      <c r="L20" s="1" t="s">
        <v>52</v>
      </c>
      <c r="M20" s="1" t="str">
        <f t="shared" si="0"/>
        <v>spi1 MOSI/PICO</v>
      </c>
    </row>
    <row r="21" spans="1:13" x14ac:dyDescent="0.25">
      <c r="A21" s="1" t="s">
        <v>70</v>
      </c>
      <c r="B21" s="1"/>
      <c r="C21" s="1"/>
      <c r="D21" s="1" t="s">
        <v>77</v>
      </c>
      <c r="E21" s="5"/>
      <c r="F21" s="6"/>
      <c r="G21" s="1" t="s">
        <v>46</v>
      </c>
      <c r="H21" s="1" t="s">
        <v>78</v>
      </c>
      <c r="L21" s="1" t="s">
        <v>53</v>
      </c>
      <c r="M21" s="1" t="str">
        <f t="shared" si="0"/>
        <v>SWDIO</v>
      </c>
    </row>
    <row r="22" spans="1:13" x14ac:dyDescent="0.25">
      <c r="A22" s="1" t="s">
        <v>70</v>
      </c>
      <c r="B22" s="1"/>
      <c r="C22" s="1"/>
      <c r="D22" s="1" t="s">
        <v>72</v>
      </c>
      <c r="E22" s="5"/>
      <c r="F22" s="6"/>
      <c r="G22" s="1" t="s">
        <v>47</v>
      </c>
      <c r="H22" s="1" t="s">
        <v>79</v>
      </c>
      <c r="L22" s="1" t="s">
        <v>54</v>
      </c>
      <c r="M22" s="1" t="str">
        <f t="shared" si="0"/>
        <v>SWCLK</v>
      </c>
    </row>
    <row r="23" spans="1:13" x14ac:dyDescent="0.25">
      <c r="A23" s="1" t="s">
        <v>70</v>
      </c>
      <c r="B23" s="1"/>
      <c r="C23" s="1"/>
      <c r="D23" s="1" t="s">
        <v>77</v>
      </c>
      <c r="E23" s="5"/>
      <c r="F23" s="6"/>
      <c r="G23" s="1" t="s">
        <v>48</v>
      </c>
      <c r="H23" s="1" t="s">
        <v>80</v>
      </c>
      <c r="L23" s="1" t="s">
        <v>55</v>
      </c>
      <c r="M23" s="1" t="str">
        <f t="shared" si="0"/>
        <v>UART2 tx</v>
      </c>
    </row>
    <row r="24" spans="1:13" x14ac:dyDescent="0.25">
      <c r="A24" s="1" t="s">
        <v>69</v>
      </c>
      <c r="B24" s="1"/>
      <c r="C24" s="1"/>
      <c r="D24" s="1" t="s">
        <v>77</v>
      </c>
      <c r="E24" s="5"/>
      <c r="F24" s="6"/>
      <c r="G24" s="1" t="s">
        <v>51</v>
      </c>
      <c r="H24" s="1" t="s">
        <v>83</v>
      </c>
      <c r="L24" s="1" t="s">
        <v>56</v>
      </c>
      <c r="M24" s="1" t="str">
        <f t="shared" si="0"/>
        <v>UART2 rx</v>
      </c>
    </row>
    <row r="25" spans="1:13" x14ac:dyDescent="0.25">
      <c r="A25" s="1" t="s">
        <v>69</v>
      </c>
      <c r="B25" s="1"/>
      <c r="C25" s="1"/>
      <c r="D25" s="1" t="s">
        <v>72</v>
      </c>
      <c r="E25" s="7"/>
      <c r="F25" s="8"/>
      <c r="G25" s="1" t="s">
        <v>50</v>
      </c>
      <c r="H25" s="1" t="s">
        <v>84</v>
      </c>
      <c r="L25" s="1" t="s">
        <v>57</v>
      </c>
      <c r="M25" s="1" t="str">
        <f t="shared" si="0"/>
        <v>PWM</v>
      </c>
    </row>
    <row r="26" spans="1:13" x14ac:dyDescent="0.25">
      <c r="A26" s="1" t="s">
        <v>69</v>
      </c>
      <c r="B26" s="1"/>
      <c r="C26" s="1"/>
      <c r="D26" s="1" t="s">
        <v>77</v>
      </c>
      <c r="E26" s="7"/>
      <c r="F26" s="8"/>
      <c r="G26" s="1" t="s">
        <v>52</v>
      </c>
      <c r="H26" s="1" t="s">
        <v>85</v>
      </c>
      <c r="L26" s="1" t="s">
        <v>58</v>
      </c>
      <c r="M26" s="1" t="str">
        <f t="shared" si="0"/>
        <v>AI</v>
      </c>
    </row>
    <row r="27" spans="1:13" x14ac:dyDescent="0.25">
      <c r="A27" s="1" t="s">
        <v>69</v>
      </c>
      <c r="B27" s="1" t="s">
        <v>75</v>
      </c>
      <c r="C27" s="1" t="s">
        <v>74</v>
      </c>
      <c r="D27" s="1" t="s">
        <v>68</v>
      </c>
      <c r="E27" s="7"/>
      <c r="F27" s="8"/>
      <c r="G27" s="1" t="s">
        <v>126</v>
      </c>
      <c r="H27" s="1" t="s">
        <v>86</v>
      </c>
      <c r="L27" s="1" t="s">
        <v>59</v>
      </c>
      <c r="M27" s="1" t="str">
        <f t="shared" si="0"/>
        <v>n/a</v>
      </c>
    </row>
    <row r="28" spans="1:13" x14ac:dyDescent="0.25">
      <c r="A28" s="1" t="s">
        <v>69</v>
      </c>
      <c r="B28" s="1" t="s">
        <v>75</v>
      </c>
      <c r="C28" s="1" t="s">
        <v>76</v>
      </c>
      <c r="D28" s="1" t="s">
        <v>68</v>
      </c>
      <c r="E28" s="7"/>
      <c r="F28" s="8"/>
      <c r="G28" s="1" t="s">
        <v>120</v>
      </c>
      <c r="H28" s="1" t="s">
        <v>86</v>
      </c>
      <c r="L28" s="1" t="s">
        <v>60</v>
      </c>
      <c r="M28" s="1" t="str">
        <f t="shared" si="0"/>
        <v>MCAN0 TX</v>
      </c>
    </row>
    <row r="29" spans="1:13" x14ac:dyDescent="0.25">
      <c r="A29" s="1" t="s">
        <v>148</v>
      </c>
      <c r="B29" s="1" t="s">
        <v>67</v>
      </c>
      <c r="C29" s="1" t="s">
        <v>149</v>
      </c>
      <c r="D29" s="1" t="s">
        <v>77</v>
      </c>
      <c r="E29" s="7"/>
      <c r="F29" s="8"/>
      <c r="G29" s="1" t="s">
        <v>55</v>
      </c>
      <c r="H29" s="1" t="s">
        <v>150</v>
      </c>
      <c r="L29" s="1" t="s">
        <v>61</v>
      </c>
      <c r="M29" s="1" t="str">
        <f t="shared" si="0"/>
        <v>MCAN0 RX</v>
      </c>
    </row>
    <row r="30" spans="1:13" x14ac:dyDescent="0.25">
      <c r="A30" s="1" t="s">
        <v>148</v>
      </c>
      <c r="B30" s="1" t="s">
        <v>67</v>
      </c>
      <c r="C30" s="1" t="s">
        <v>149</v>
      </c>
      <c r="D30" s="1" t="s">
        <v>72</v>
      </c>
      <c r="E30" s="7"/>
      <c r="F30" s="8"/>
      <c r="G30" s="1" t="s">
        <v>56</v>
      </c>
      <c r="H30" s="1" t="s">
        <v>151</v>
      </c>
      <c r="L30" s="1" t="s">
        <v>62</v>
      </c>
      <c r="M30" s="1" t="str">
        <f t="shared" si="0"/>
        <v>n/a</v>
      </c>
    </row>
    <row r="31" spans="1:13" x14ac:dyDescent="0.25">
      <c r="L31" s="1" t="s">
        <v>63</v>
      </c>
      <c r="M31" s="1" t="str">
        <f t="shared" si="0"/>
        <v>n/a</v>
      </c>
    </row>
    <row r="32" spans="1:13" x14ac:dyDescent="0.25">
      <c r="A32" s="9" t="s">
        <v>21</v>
      </c>
      <c r="B32" s="9"/>
      <c r="C32" s="9"/>
      <c r="D32" s="9"/>
      <c r="E32" s="9"/>
      <c r="F32" s="9"/>
      <c r="G32" s="9"/>
      <c r="H32" s="9"/>
      <c r="L32" s="1" t="s">
        <v>64</v>
      </c>
      <c r="M32" s="1" t="str">
        <f t="shared" si="0"/>
        <v>n/a</v>
      </c>
    </row>
    <row r="33" spans="1:13" x14ac:dyDescent="0.25">
      <c r="A33" s="9" t="s">
        <v>1</v>
      </c>
      <c r="B33" s="10" t="s">
        <v>6</v>
      </c>
      <c r="C33" s="9" t="s">
        <v>2</v>
      </c>
      <c r="D33" s="9" t="s">
        <v>23</v>
      </c>
      <c r="E33" s="12" t="s">
        <v>25</v>
      </c>
      <c r="F33" s="13"/>
      <c r="G33" s="9" t="s">
        <v>3</v>
      </c>
      <c r="H33" s="9"/>
      <c r="L33" s="1" t="s">
        <v>65</v>
      </c>
      <c r="M33" s="1" t="str">
        <f t="shared" si="0"/>
        <v>n/a</v>
      </c>
    </row>
    <row r="34" spans="1:13" x14ac:dyDescent="0.25">
      <c r="A34" s="9"/>
      <c r="B34" s="11"/>
      <c r="C34" s="9"/>
      <c r="D34" s="9"/>
      <c r="E34" s="14"/>
      <c r="F34" s="15"/>
      <c r="G34" s="4" t="s">
        <v>29</v>
      </c>
      <c r="H34" s="4" t="s">
        <v>28</v>
      </c>
      <c r="L34" s="1" t="s">
        <v>113</v>
      </c>
      <c r="M34" s="1" t="str">
        <f t="shared" si="0"/>
        <v>gpio</v>
      </c>
    </row>
    <row r="35" spans="1:13" x14ac:dyDescent="0.25">
      <c r="A35" s="1" t="s">
        <v>5</v>
      </c>
      <c r="B35" s="1" t="s">
        <v>22</v>
      </c>
      <c r="C35" s="1" t="s">
        <v>26</v>
      </c>
      <c r="D35" s="1" t="s">
        <v>68</v>
      </c>
      <c r="E35" s="7" t="s">
        <v>92</v>
      </c>
      <c r="F35" s="8"/>
      <c r="G35" s="1" t="s">
        <v>60</v>
      </c>
      <c r="H35" s="1" t="s">
        <v>82</v>
      </c>
      <c r="L35" s="1" t="s">
        <v>114</v>
      </c>
      <c r="M35" s="1" t="str">
        <f t="shared" si="0"/>
        <v>gpio</v>
      </c>
    </row>
    <row r="36" spans="1:13" x14ac:dyDescent="0.25">
      <c r="A36" s="1" t="s">
        <v>5</v>
      </c>
      <c r="B36" s="1" t="s">
        <v>22</v>
      </c>
      <c r="C36" s="1" t="s">
        <v>26</v>
      </c>
      <c r="D36" s="1" t="s">
        <v>72</v>
      </c>
      <c r="E36" s="7" t="s">
        <v>92</v>
      </c>
      <c r="F36" s="8"/>
      <c r="G36" s="1" t="s">
        <v>61</v>
      </c>
      <c r="H36" s="1" t="s">
        <v>81</v>
      </c>
      <c r="L36" s="1" t="s">
        <v>115</v>
      </c>
      <c r="M36" s="1" t="str">
        <f t="shared" si="0"/>
        <v>gpio</v>
      </c>
    </row>
    <row r="37" spans="1:13" x14ac:dyDescent="0.25">
      <c r="A37" s="1" t="s">
        <v>5</v>
      </c>
      <c r="B37" s="1" t="s">
        <v>67</v>
      </c>
      <c r="C37" s="1" t="s">
        <v>87</v>
      </c>
      <c r="D37" s="1" t="s">
        <v>146</v>
      </c>
      <c r="E37" s="7" t="s">
        <v>147</v>
      </c>
      <c r="F37" s="8"/>
      <c r="G37" s="1" t="s">
        <v>53</v>
      </c>
      <c r="H37" s="1" t="s">
        <v>88</v>
      </c>
      <c r="L37" s="1" t="s">
        <v>116</v>
      </c>
      <c r="M37" s="1" t="str">
        <f t="shared" si="0"/>
        <v>gpio</v>
      </c>
    </row>
    <row r="38" spans="1:13" x14ac:dyDescent="0.25">
      <c r="A38" s="1" t="s">
        <v>5</v>
      </c>
      <c r="B38" s="1" t="s">
        <v>67</v>
      </c>
      <c r="C38" s="1" t="s">
        <v>87</v>
      </c>
      <c r="D38" s="1" t="s">
        <v>146</v>
      </c>
      <c r="E38" s="7" t="s">
        <v>147</v>
      </c>
      <c r="F38" s="8"/>
      <c r="G38" s="1" t="s">
        <v>54</v>
      </c>
      <c r="H38" s="1" t="s">
        <v>89</v>
      </c>
      <c r="L38" s="1" t="s">
        <v>117</v>
      </c>
      <c r="M38" s="1" t="str">
        <f t="shared" ref="M38:M67" si="1">IFERROR(INDEX($H$15:$H$1000, MATCH($L38, $G$15:$G$1000, 0)), "n/a")</f>
        <v>n/a</v>
      </c>
    </row>
    <row r="39" spans="1:13" x14ac:dyDescent="0.25">
      <c r="A39" s="1" t="s">
        <v>5</v>
      </c>
      <c r="B39" s="1" t="s">
        <v>90</v>
      </c>
      <c r="C39" s="1" t="s">
        <v>91</v>
      </c>
      <c r="D39" s="1" t="s">
        <v>68</v>
      </c>
      <c r="E39" s="7"/>
      <c r="F39" s="8"/>
      <c r="G39" s="1" t="s">
        <v>114</v>
      </c>
      <c r="H39" s="1" t="s">
        <v>86</v>
      </c>
      <c r="L39" s="1" t="s">
        <v>118</v>
      </c>
      <c r="M39" s="1" t="str">
        <f t="shared" si="1"/>
        <v>n/a</v>
      </c>
    </row>
    <row r="40" spans="1:13" x14ac:dyDescent="0.25">
      <c r="A40" s="1" t="s">
        <v>5</v>
      </c>
      <c r="B40" s="1" t="s">
        <v>90</v>
      </c>
      <c r="C40" s="1" t="s">
        <v>93</v>
      </c>
      <c r="D40" s="1" t="s">
        <v>68</v>
      </c>
      <c r="E40" s="7"/>
      <c r="F40" s="8"/>
      <c r="G40" s="1" t="s">
        <v>39</v>
      </c>
      <c r="H40" s="1" t="s">
        <v>86</v>
      </c>
      <c r="L40" s="1" t="s">
        <v>119</v>
      </c>
      <c r="M40" s="1" t="str">
        <f t="shared" si="1"/>
        <v>n/a</v>
      </c>
    </row>
    <row r="41" spans="1:13" x14ac:dyDescent="0.25">
      <c r="A41" s="1" t="s">
        <v>5</v>
      </c>
      <c r="B41" s="1" t="s">
        <v>90</v>
      </c>
      <c r="C41" s="1" t="s">
        <v>94</v>
      </c>
      <c r="D41" s="1" t="s">
        <v>68</v>
      </c>
      <c r="E41" s="7"/>
      <c r="F41" s="8"/>
      <c r="G41" s="1" t="s">
        <v>40</v>
      </c>
      <c r="H41" s="1" t="s">
        <v>86</v>
      </c>
      <c r="L41" s="1" t="s">
        <v>120</v>
      </c>
      <c r="M41" s="1" t="str">
        <f t="shared" si="1"/>
        <v>gpio</v>
      </c>
    </row>
    <row r="42" spans="1:13" x14ac:dyDescent="0.25">
      <c r="A42" s="1" t="s">
        <v>5</v>
      </c>
      <c r="B42" s="1" t="s">
        <v>90</v>
      </c>
      <c r="C42" s="1" t="s">
        <v>95</v>
      </c>
      <c r="D42" s="1" t="s">
        <v>68</v>
      </c>
      <c r="E42" s="7"/>
      <c r="F42" s="8"/>
      <c r="G42" s="1" t="s">
        <v>113</v>
      </c>
      <c r="H42" s="1" t="s">
        <v>86</v>
      </c>
      <c r="L42" s="1" t="s">
        <v>121</v>
      </c>
      <c r="M42" s="1" t="str">
        <f t="shared" si="1"/>
        <v>n/a</v>
      </c>
    </row>
    <row r="43" spans="1:13" x14ac:dyDescent="0.25">
      <c r="A43" s="1" t="s">
        <v>5</v>
      </c>
      <c r="B43" s="1" t="s">
        <v>96</v>
      </c>
      <c r="C43" s="1" t="s">
        <v>97</v>
      </c>
      <c r="D43" s="1" t="s">
        <v>68</v>
      </c>
      <c r="E43" s="7"/>
      <c r="F43" s="8"/>
      <c r="G43" s="1" t="s">
        <v>116</v>
      </c>
      <c r="H43" s="1" t="s">
        <v>86</v>
      </c>
      <c r="L43" s="1" t="s">
        <v>122</v>
      </c>
      <c r="M43" s="1" t="str">
        <f t="shared" si="1"/>
        <v>n/a</v>
      </c>
    </row>
    <row r="44" spans="1:13" x14ac:dyDescent="0.25">
      <c r="A44" s="1" t="s">
        <v>5</v>
      </c>
      <c r="B44" s="1" t="s">
        <v>96</v>
      </c>
      <c r="C44" s="1" t="s">
        <v>98</v>
      </c>
      <c r="D44" s="1" t="s">
        <v>72</v>
      </c>
      <c r="E44" s="7"/>
      <c r="F44" s="8"/>
      <c r="G44" s="1" t="s">
        <v>115</v>
      </c>
      <c r="H44" s="1" t="s">
        <v>86</v>
      </c>
      <c r="L44" s="1" t="s">
        <v>123</v>
      </c>
      <c r="M44" s="1" t="str">
        <f t="shared" si="1"/>
        <v>n/a</v>
      </c>
    </row>
    <row r="45" spans="1:13" x14ac:dyDescent="0.25">
      <c r="A45" s="1" t="s">
        <v>5</v>
      </c>
      <c r="B45" s="1" t="s">
        <v>99</v>
      </c>
      <c r="C45" s="1" t="s">
        <v>152</v>
      </c>
      <c r="D45" s="1" t="s">
        <v>77</v>
      </c>
      <c r="E45" s="7"/>
      <c r="F45" s="8"/>
      <c r="G45" s="1" t="s">
        <v>57</v>
      </c>
      <c r="H45" s="1" t="s">
        <v>100</v>
      </c>
      <c r="L45" s="1" t="s">
        <v>124</v>
      </c>
      <c r="M45" s="1" t="str">
        <f t="shared" si="1"/>
        <v>n/a</v>
      </c>
    </row>
    <row r="46" spans="1:13" x14ac:dyDescent="0.25">
      <c r="A46" s="1" t="s">
        <v>5</v>
      </c>
      <c r="B46" s="1" t="s">
        <v>99</v>
      </c>
      <c r="C46" s="1" t="s">
        <v>153</v>
      </c>
      <c r="D46" s="1" t="s">
        <v>77</v>
      </c>
      <c r="E46" s="7" t="s">
        <v>111</v>
      </c>
      <c r="F46" s="8"/>
      <c r="G46" s="1" t="s">
        <v>145</v>
      </c>
      <c r="H46" s="1" t="s">
        <v>100</v>
      </c>
      <c r="L46" s="1" t="s">
        <v>125</v>
      </c>
      <c r="M46" s="1" t="str">
        <f t="shared" si="1"/>
        <v>n/a</v>
      </c>
    </row>
    <row r="47" spans="1:13" x14ac:dyDescent="0.25">
      <c r="A47" s="1" t="s">
        <v>5</v>
      </c>
      <c r="B47" s="1" t="s">
        <v>99</v>
      </c>
      <c r="C47" s="1" t="s">
        <v>154</v>
      </c>
      <c r="D47" s="1" t="s">
        <v>77</v>
      </c>
      <c r="E47" s="7" t="s">
        <v>111</v>
      </c>
      <c r="F47" s="8"/>
      <c r="G47" s="1" t="s">
        <v>145</v>
      </c>
      <c r="H47" s="1" t="s">
        <v>100</v>
      </c>
      <c r="L47" s="1" t="s">
        <v>126</v>
      </c>
      <c r="M47" s="1" t="str">
        <f t="shared" si="1"/>
        <v>gpio</v>
      </c>
    </row>
    <row r="48" spans="1:13" x14ac:dyDescent="0.25">
      <c r="A48" s="1" t="s">
        <v>5</v>
      </c>
      <c r="B48" s="1" t="s">
        <v>99</v>
      </c>
      <c r="C48" s="1" t="s">
        <v>155</v>
      </c>
      <c r="D48" s="1" t="s">
        <v>77</v>
      </c>
      <c r="E48" s="7" t="s">
        <v>111</v>
      </c>
      <c r="F48" s="8"/>
      <c r="G48" s="1" t="s">
        <v>145</v>
      </c>
      <c r="H48" s="1" t="s">
        <v>100</v>
      </c>
      <c r="L48" s="1" t="s">
        <v>127</v>
      </c>
      <c r="M48" s="1" t="str">
        <f t="shared" si="1"/>
        <v>n/a</v>
      </c>
    </row>
    <row r="49" spans="1:13" x14ac:dyDescent="0.25">
      <c r="A49" s="1" t="s">
        <v>5</v>
      </c>
      <c r="B49" s="1" t="s">
        <v>101</v>
      </c>
      <c r="C49" s="1" t="s">
        <v>102</v>
      </c>
      <c r="D49" s="1" t="s">
        <v>103</v>
      </c>
      <c r="E49" s="7"/>
      <c r="F49" s="8"/>
      <c r="G49" s="1" t="s">
        <v>58</v>
      </c>
      <c r="H49" s="1" t="s">
        <v>103</v>
      </c>
      <c r="L49" s="1" t="s">
        <v>128</v>
      </c>
      <c r="M49" s="1" t="str">
        <f t="shared" si="1"/>
        <v>uart TX</v>
      </c>
    </row>
    <row r="50" spans="1:13" x14ac:dyDescent="0.25">
      <c r="A50" s="1" t="s">
        <v>5</v>
      </c>
      <c r="B50" s="1" t="s">
        <v>101</v>
      </c>
      <c r="C50" s="1" t="s">
        <v>104</v>
      </c>
      <c r="D50" s="1" t="s">
        <v>103</v>
      </c>
      <c r="E50" s="7" t="s">
        <v>111</v>
      </c>
      <c r="F50" s="8"/>
      <c r="G50" s="1" t="s">
        <v>145</v>
      </c>
      <c r="H50" s="1" t="s">
        <v>103</v>
      </c>
      <c r="L50" s="1" t="s">
        <v>129</v>
      </c>
      <c r="M50" s="1" t="str">
        <f t="shared" si="1"/>
        <v>gpio</v>
      </c>
    </row>
    <row r="51" spans="1:13" ht="33.75" customHeight="1" x14ac:dyDescent="0.25">
      <c r="A51" s="1" t="s">
        <v>5</v>
      </c>
      <c r="B51" s="1" t="s">
        <v>105</v>
      </c>
      <c r="C51" s="1" t="s">
        <v>106</v>
      </c>
      <c r="D51" s="1" t="s">
        <v>72</v>
      </c>
      <c r="E51" s="7" t="s">
        <v>107</v>
      </c>
      <c r="F51" s="8"/>
      <c r="G51" s="1" t="s">
        <v>139</v>
      </c>
      <c r="H51" s="1" t="s">
        <v>86</v>
      </c>
      <c r="L51" s="1" t="s">
        <v>130</v>
      </c>
      <c r="M51" s="1" t="str">
        <f t="shared" si="1"/>
        <v>n/a</v>
      </c>
    </row>
    <row r="52" spans="1:13" x14ac:dyDescent="0.25">
      <c r="A52" s="1" t="s">
        <v>5</v>
      </c>
      <c r="B52" s="1" t="s">
        <v>105</v>
      </c>
      <c r="C52" s="1" t="s">
        <v>108</v>
      </c>
      <c r="D52" s="1" t="s">
        <v>72</v>
      </c>
      <c r="E52" s="7"/>
      <c r="F52" s="8"/>
      <c r="G52" s="1" t="s">
        <v>140</v>
      </c>
      <c r="H52" s="1" t="s">
        <v>86</v>
      </c>
      <c r="L52" s="1" t="s">
        <v>131</v>
      </c>
      <c r="M52" s="1" t="str">
        <f t="shared" si="1"/>
        <v>n/a</v>
      </c>
    </row>
    <row r="53" spans="1:13" x14ac:dyDescent="0.25">
      <c r="A53" s="1" t="s">
        <v>5</v>
      </c>
      <c r="B53" s="1" t="s">
        <v>17</v>
      </c>
      <c r="C53" s="1" t="s">
        <v>109</v>
      </c>
      <c r="D53" s="1" t="s">
        <v>72</v>
      </c>
      <c r="E53" s="7"/>
      <c r="F53" s="8"/>
      <c r="G53" s="1" t="s">
        <v>129</v>
      </c>
      <c r="H53" s="1" t="s">
        <v>86</v>
      </c>
      <c r="L53" s="1" t="s">
        <v>132</v>
      </c>
      <c r="M53" s="1" t="str">
        <f t="shared" si="1"/>
        <v>n/a</v>
      </c>
    </row>
    <row r="54" spans="1:13" x14ac:dyDescent="0.25">
      <c r="A54" s="1" t="s">
        <v>5</v>
      </c>
      <c r="B54" s="1" t="s">
        <v>17</v>
      </c>
      <c r="C54" s="1" t="s">
        <v>156</v>
      </c>
      <c r="D54" s="1" t="s">
        <v>68</v>
      </c>
      <c r="E54" s="7"/>
      <c r="F54" s="8"/>
      <c r="G54" s="1" t="s">
        <v>128</v>
      </c>
      <c r="H54" s="1" t="s">
        <v>112</v>
      </c>
      <c r="L54" s="1" t="s">
        <v>133</v>
      </c>
      <c r="M54" s="1" t="str">
        <f t="shared" si="1"/>
        <v>n/a</v>
      </c>
    </row>
    <row r="55" spans="1:13" x14ac:dyDescent="0.25">
      <c r="A55" s="1"/>
      <c r="B55" s="1"/>
      <c r="C55" s="1"/>
      <c r="D55" s="1"/>
      <c r="E55" s="7"/>
      <c r="F55" s="8"/>
      <c r="G55" s="1"/>
      <c r="H55" s="1"/>
      <c r="L55" s="1" t="s">
        <v>134</v>
      </c>
      <c r="M55" s="1" t="str">
        <f t="shared" si="1"/>
        <v>n/a</v>
      </c>
    </row>
    <row r="56" spans="1:13" x14ac:dyDescent="0.25">
      <c r="A56" s="1"/>
      <c r="B56" s="1"/>
      <c r="C56" s="1"/>
      <c r="D56" s="1"/>
      <c r="E56" s="7"/>
      <c r="F56" s="8"/>
      <c r="G56" s="1"/>
      <c r="H56" s="1"/>
      <c r="L56" s="1" t="s">
        <v>135</v>
      </c>
      <c r="M56" s="1" t="str">
        <f t="shared" si="1"/>
        <v>n/a</v>
      </c>
    </row>
    <row r="57" spans="1:13" x14ac:dyDescent="0.25">
      <c r="A57" s="1"/>
      <c r="B57" s="1"/>
      <c r="C57" s="1"/>
      <c r="D57" s="1"/>
      <c r="E57" s="7"/>
      <c r="F57" s="8"/>
      <c r="G57" s="1"/>
      <c r="H57" s="1"/>
      <c r="L57" s="1" t="s">
        <v>136</v>
      </c>
      <c r="M57" s="1" t="str">
        <f t="shared" si="1"/>
        <v>n/a</v>
      </c>
    </row>
    <row r="58" spans="1:13" x14ac:dyDescent="0.25">
      <c r="A58" s="1"/>
      <c r="B58" s="1"/>
      <c r="C58" s="1"/>
      <c r="D58" s="1"/>
      <c r="E58" s="7"/>
      <c r="F58" s="8"/>
      <c r="G58" s="1"/>
      <c r="H58" s="1"/>
      <c r="L58" s="1" t="s">
        <v>137</v>
      </c>
      <c r="M58" s="1" t="str">
        <f t="shared" si="1"/>
        <v>n/a</v>
      </c>
    </row>
    <row r="59" spans="1:13" x14ac:dyDescent="0.25">
      <c r="L59" s="1" t="s">
        <v>138</v>
      </c>
      <c r="M59" s="1" t="str">
        <f t="shared" si="1"/>
        <v>n/a</v>
      </c>
    </row>
    <row r="60" spans="1:13" x14ac:dyDescent="0.25">
      <c r="L60" s="1" t="s">
        <v>139</v>
      </c>
      <c r="M60" s="1" t="str">
        <f t="shared" si="1"/>
        <v>gpio</v>
      </c>
    </row>
    <row r="61" spans="1:13" x14ac:dyDescent="0.25">
      <c r="L61" s="1" t="s">
        <v>140</v>
      </c>
      <c r="M61" s="1" t="str">
        <f t="shared" si="1"/>
        <v>gpio</v>
      </c>
    </row>
    <row r="62" spans="1:13" x14ac:dyDescent="0.25">
      <c r="L62" s="1" t="s">
        <v>141</v>
      </c>
      <c r="M62" s="1" t="str">
        <f t="shared" si="1"/>
        <v>n/a</v>
      </c>
    </row>
    <row r="63" spans="1:13" x14ac:dyDescent="0.25">
      <c r="L63" s="1" t="s">
        <v>142</v>
      </c>
      <c r="M63" s="1" t="str">
        <f t="shared" si="1"/>
        <v>n/a</v>
      </c>
    </row>
    <row r="64" spans="1:13" x14ac:dyDescent="0.25">
      <c r="L64" s="1" t="s">
        <v>143</v>
      </c>
      <c r="M64" s="1" t="str">
        <f t="shared" si="1"/>
        <v>n/a</v>
      </c>
    </row>
    <row r="65" spans="12:13" x14ac:dyDescent="0.25">
      <c r="L65" s="1" t="s">
        <v>144</v>
      </c>
      <c r="M65" s="1" t="str">
        <f t="shared" si="1"/>
        <v>n/a</v>
      </c>
    </row>
    <row r="66" spans="12:13" x14ac:dyDescent="0.25">
      <c r="L66" s="1"/>
      <c r="M66" s="1"/>
    </row>
    <row r="67" spans="12:13" x14ac:dyDescent="0.25">
      <c r="L67" s="1"/>
      <c r="M67" s="1"/>
    </row>
  </sheetData>
  <mergeCells count="52">
    <mergeCell ref="E56:F56"/>
    <mergeCell ref="E57:F57"/>
    <mergeCell ref="E58:F58"/>
    <mergeCell ref="E30:F30"/>
    <mergeCell ref="E46:F46"/>
    <mergeCell ref="E54:F54"/>
    <mergeCell ref="E48:F48"/>
    <mergeCell ref="E49:F49"/>
    <mergeCell ref="E50:F50"/>
    <mergeCell ref="E51:F51"/>
    <mergeCell ref="E52:F52"/>
    <mergeCell ref="E53:F53"/>
    <mergeCell ref="E29:F29"/>
    <mergeCell ref="A17:H17"/>
    <mergeCell ref="G18:H18"/>
    <mergeCell ref="A18:A19"/>
    <mergeCell ref="C18:C19"/>
    <mergeCell ref="B18:B19"/>
    <mergeCell ref="D18:D19"/>
    <mergeCell ref="E18:F19"/>
    <mergeCell ref="B33:B34"/>
    <mergeCell ref="C33:C34"/>
    <mergeCell ref="D33:D34"/>
    <mergeCell ref="E33:F34"/>
    <mergeCell ref="E47:F47"/>
    <mergeCell ref="E41:F41"/>
    <mergeCell ref="E35:F35"/>
    <mergeCell ref="E36:F36"/>
    <mergeCell ref="E37:F37"/>
    <mergeCell ref="E38:F38"/>
    <mergeCell ref="E39:F39"/>
    <mergeCell ref="E40:F40"/>
    <mergeCell ref="E42:F42"/>
    <mergeCell ref="E43:F43"/>
    <mergeCell ref="E44:F44"/>
    <mergeCell ref="E45:F45"/>
    <mergeCell ref="E55:F55"/>
    <mergeCell ref="A4:A5"/>
    <mergeCell ref="C4:C5"/>
    <mergeCell ref="E4:E5"/>
    <mergeCell ref="A3:H3"/>
    <mergeCell ref="G4:H4"/>
    <mergeCell ref="B4:B5"/>
    <mergeCell ref="D4:D5"/>
    <mergeCell ref="F4:F5"/>
    <mergeCell ref="G33:H33"/>
    <mergeCell ref="A32:H32"/>
    <mergeCell ref="E28:F28"/>
    <mergeCell ref="E25:F25"/>
    <mergeCell ref="E26:F26"/>
    <mergeCell ref="E27:F27"/>
    <mergeCell ref="A33:A34"/>
  </mergeCells>
  <phoneticPr fontId="3" type="noConversion"/>
  <conditionalFormatting sqref="M1:M1048576">
    <cfRule type="cellIs" dxfId="7" priority="4" operator="equal">
      <formula>"n/a"</formula>
    </cfRule>
  </conditionalFormatting>
  <conditionalFormatting sqref="K3">
    <cfRule type="cellIs" dxfId="5" priority="2" operator="equal">
      <formula>"n/a"</formula>
    </cfRule>
  </conditionalFormatting>
  <conditionalFormatting sqref="K3">
    <cfRule type="cellIs" dxfId="4" priority="1" operator="notEqual">
      <formula>"n/a"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boone</dc:creator>
  <cp:lastModifiedBy>yong boone</cp:lastModifiedBy>
  <dcterms:created xsi:type="dcterms:W3CDTF">2025-12-21T01:56:50Z</dcterms:created>
  <dcterms:modified xsi:type="dcterms:W3CDTF">2025-12-25T17:49:08Z</dcterms:modified>
</cp:coreProperties>
</file>